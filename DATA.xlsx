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 LONG VIET\XEP LICH THI DAU THE THAO\"/>
    </mc:Choice>
  </mc:AlternateContent>
  <xr:revisionPtr revIDLastSave="0" documentId="8_{B3433406-25D1-46D7-9707-1D8816B0F02C}" xr6:coauthVersionLast="47" xr6:coauthVersionMax="47" xr10:uidLastSave="{00000000-0000-0000-0000-000000000000}"/>
  <bookViews>
    <workbookView xWindow="-108" yWindow="-108" windowWidth="23256" windowHeight="12576" tabRatio="682" xr2:uid="{00000000-000D-0000-FFFF-FFFF00000000}"/>
  </bookViews>
  <sheets>
    <sheet name="BĐ 28.08" sheetId="13" r:id="rId1"/>
    <sheet name="Pick 28.08" sheetId="17" r:id="rId2"/>
    <sheet name="BĐ Nam" sheetId="4" r:id="rId3"/>
    <sheet name="Pick" sheetId="5" r:id="rId4"/>
    <sheet name="Agenda" sheetId="11" r:id="rId5"/>
    <sheet name="P.2NN" sheetId="20" r:id="rId6"/>
    <sheet name="P.2Nữ" sheetId="19" r:id="rId7"/>
    <sheet name="P.2Nam" sheetId="18" r:id="rId8"/>
  </sheets>
  <externalReferences>
    <externalReference r:id="rId9"/>
  </externalReferences>
  <definedNames>
    <definedName name="_xlnm._FilterDatabase" localSheetId="0" hidden="1">'BĐ 28.08'!$D$4:$L$92</definedName>
    <definedName name="_xlnm._FilterDatabase" localSheetId="1" hidden="1">'Pick 28.08'!$D$4:$N$39</definedName>
    <definedName name="_xlnm.Print_Titles" localSheetId="0">'BĐ 28.08'!$4:$4</definedName>
    <definedName name="_xlnm.Print_Titles" localSheetId="1">'Pick 28.08'!$4:$4</definedName>
    <definedName name="Z_1538C7DA_A89F_40A2_BC37_1E903C92AB28_.wvu.FilterData" localSheetId="0" hidden="1">'BĐ 28.08'!$D$4:$J$4</definedName>
    <definedName name="Z_1538C7DA_A89F_40A2_BC37_1E903C92AB28_.wvu.FilterData" localSheetId="1" hidden="1">'Pick 28.08'!$D$4:$K$4</definedName>
    <definedName name="Z_1538C7DA_A89F_40A2_BC37_1E903C92AB28_.wvu.PrintTitles" localSheetId="0" hidden="1">'BĐ 28.08'!$4:$4</definedName>
    <definedName name="Z_1538C7DA_A89F_40A2_BC37_1E903C92AB28_.wvu.PrintTitles" localSheetId="1" hidden="1">'Pick 28.08'!$4:$4</definedName>
    <definedName name="Z_433C6EB6_2B5F_4F46_BCB6_37C9A9A78F20_.wvu.FilterData" localSheetId="0" hidden="1">'BĐ 28.08'!$D$4:$J$4</definedName>
    <definedName name="Z_433C6EB6_2B5F_4F46_BCB6_37C9A9A78F20_.wvu.FilterData" localSheetId="1" hidden="1">'Pick 28.08'!$D$4:$K$4</definedName>
    <definedName name="Z_45361F9B_C7B1_47DC_9533_3FF20644C05F_.wvu.FilterData" localSheetId="0" hidden="1">'BĐ 28.08'!$D$4:$L$92</definedName>
    <definedName name="Z_45361F9B_C7B1_47DC_9533_3FF20644C05F_.wvu.FilterData" localSheetId="1" hidden="1">'Pick 28.08'!$D$4:$N$39</definedName>
    <definedName name="Z_45361F9B_C7B1_47DC_9533_3FF20644C05F_.wvu.PrintArea" localSheetId="0" hidden="1">'BĐ 28.08'!$A$1:$K$92</definedName>
    <definedName name="Z_45361F9B_C7B1_47DC_9533_3FF20644C05F_.wvu.PrintArea" localSheetId="1" hidden="1">'Pick 28.08'!$A$1:$L$77</definedName>
    <definedName name="Z_45361F9B_C7B1_47DC_9533_3FF20644C05F_.wvu.PrintTitles" localSheetId="0" hidden="1">'BĐ 28.08'!$4:$4</definedName>
    <definedName name="Z_45361F9B_C7B1_47DC_9533_3FF20644C05F_.wvu.PrintTitles" localSheetId="1" hidden="1">'Pick 28.08'!$4:$4</definedName>
    <definedName name="Z_9FAEFE5E_6E6C_4C11_B921_66898D74B430_.wvu.FilterData" localSheetId="0" hidden="1">'BĐ 28.08'!$D$4:$L$92</definedName>
    <definedName name="Z_9FAEFE5E_6E6C_4C11_B921_66898D74B430_.wvu.FilterData" localSheetId="1" hidden="1">'Pick 28.08'!$D$4:$N$39</definedName>
    <definedName name="Z_DBBDD8D7_C2B2_483C_8DA4_526BAF4B7B53_.wvu.FilterData" localSheetId="0" hidden="1">'BĐ 28.08'!$D$4:$L$92</definedName>
    <definedName name="Z_DBBDD8D7_C2B2_483C_8DA4_526BAF4B7B53_.wvu.FilterData" localSheetId="1" hidden="1">'Pick 28.08'!$D$4:$N$39</definedName>
    <definedName name="Z_DBBDD8D7_C2B2_483C_8DA4_526BAF4B7B53_.wvu.PrintTitles" localSheetId="0" hidden="1">'BĐ 28.08'!$4:$4</definedName>
    <definedName name="Z_DBBDD8D7_C2B2_483C_8DA4_526BAF4B7B53_.wvu.PrintTitles" localSheetId="1" hidden="1">'Pick 28.08'!$4:$4</definedName>
    <definedName name="Z_E0CE4DE0_E923_4709_8E99_BCAECBF9CB67_.wvu.FilterData" localSheetId="0" hidden="1">'BĐ 28.08'!$D$4:$J$4</definedName>
    <definedName name="Z_E0CE4DE0_E923_4709_8E99_BCAECBF9CB67_.wvu.FilterData" localSheetId="1" hidden="1">'Pick 28.08'!$D$4:$K$4</definedName>
    <definedName name="Z_FA440C2B_B452_445D_8AF9_A20269FDEA8D_.wvu.FilterData" localSheetId="0" hidden="1">'BĐ 28.08'!$D$4:$L$92</definedName>
    <definedName name="Z_FA440C2B_B452_445D_8AF9_A20269FDEA8D_.wvu.FilterData" localSheetId="1" hidden="1">'Pick 28.08'!$D$4:$N$39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1" l="1"/>
  <c r="B35" i="11"/>
  <c r="D35" i="11" s="1"/>
  <c r="D34" i="11"/>
  <c r="B34" i="11"/>
  <c r="B33" i="11"/>
  <c r="D33" i="11" s="1"/>
  <c r="B31" i="11"/>
  <c r="D31" i="11" s="1"/>
  <c r="B30" i="11"/>
  <c r="D30" i="11" s="1"/>
  <c r="D29" i="11"/>
  <c r="B29" i="11"/>
  <c r="B28" i="11"/>
  <c r="D28" i="11" s="1"/>
  <c r="B27" i="11"/>
  <c r="D27" i="11" s="1"/>
  <c r="B26" i="11"/>
  <c r="D26" i="11" s="1"/>
  <c r="D25" i="11"/>
  <c r="B25" i="11"/>
  <c r="B24" i="11"/>
  <c r="D24" i="11" s="1"/>
  <c r="B23" i="11"/>
  <c r="D23" i="11" s="1"/>
  <c r="B22" i="11"/>
  <c r="D22" i="11" s="1"/>
  <c r="D20" i="11"/>
  <c r="B20" i="11"/>
  <c r="B19" i="11"/>
  <c r="D19" i="11" s="1"/>
  <c r="B18" i="11"/>
  <c r="D18" i="11" s="1"/>
  <c r="B17" i="11"/>
  <c r="D17" i="11" s="1"/>
  <c r="D15" i="11"/>
  <c r="B15" i="11"/>
  <c r="B14" i="11"/>
  <c r="D14" i="11" s="1"/>
  <c r="B13" i="11"/>
  <c r="D13" i="11" s="1"/>
  <c r="B12" i="11"/>
  <c r="D12" i="11" s="1"/>
  <c r="A12" i="11"/>
  <c r="A13" i="11" s="1"/>
  <c r="A14" i="11" s="1"/>
  <c r="A15" i="11" s="1"/>
  <c r="A17" i="11" s="1"/>
  <c r="A18" i="11" s="1"/>
  <c r="A19" i="11" s="1"/>
  <c r="A20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3" i="11" s="1"/>
  <c r="A34" i="11" s="1"/>
  <c r="A35" i="11" s="1"/>
  <c r="A36" i="11" s="1"/>
  <c r="D11" i="11"/>
  <c r="D63" i="5"/>
  <c r="E13" i="5"/>
  <c r="E12" i="5"/>
  <c r="E11" i="5"/>
  <c r="E14" i="5" s="1"/>
  <c r="A5" i="5"/>
  <c r="B45" i="13"/>
  <c r="B46" i="13" s="1"/>
  <c r="B47" i="13" s="1"/>
  <c r="B48" i="13" s="1"/>
  <c r="B49" i="13" s="1"/>
  <c r="B50" i="13" s="1"/>
  <c r="B51" i="13" s="1"/>
  <c r="B52" i="13" s="1"/>
  <c r="B38" i="13"/>
  <c r="B39" i="13" s="1"/>
  <c r="B40" i="13" s="1"/>
  <c r="B42" i="13" l="1"/>
  <c r="B43" i="13" s="1"/>
  <c r="B44" i="13" s="1"/>
  <c r="B30" i="13"/>
  <c r="B31" i="13" s="1"/>
  <c r="B32" i="13" s="1"/>
  <c r="B33" i="13" s="1"/>
  <c r="B34" i="13" s="1"/>
  <c r="B35" i="13" s="1"/>
  <c r="B36" i="13" s="1"/>
  <c r="B37" i="13" s="1"/>
  <c r="B62" i="17" l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38" i="17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" i="17"/>
  <c r="B7" i="17" s="1"/>
  <c r="B8" i="17" s="1"/>
  <c r="B9" i="17" s="1"/>
  <c r="B10" i="17" s="1"/>
  <c r="B11" i="17" s="1"/>
  <c r="B12" i="17" s="1"/>
  <c r="B13" i="17" s="1"/>
  <c r="B14" i="17" s="1"/>
  <c r="B15" i="17" l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</calcChain>
</file>

<file path=xl/sharedStrings.xml><?xml version="1.0" encoding="utf-8"?>
<sst xmlns="http://schemas.openxmlformats.org/spreadsheetml/2006/main" count="1477" uniqueCount="797">
  <si>
    <t>Công ty TNHH Dương Khánh Vinh</t>
  </si>
  <si>
    <t>Ngân Hàng TMCP Quân Đội</t>
  </si>
  <si>
    <t>STT</t>
  </si>
  <si>
    <t xml:space="preserve">TRẬN ĐẤU </t>
  </si>
  <si>
    <t>TRỌNG TÀI</t>
  </si>
  <si>
    <t>Công ty CP Tập đoàn Mường Thanh</t>
  </si>
  <si>
    <t>Ban Tổ chức Thể thao</t>
  </si>
  <si>
    <t>1. Danh sách đội tham gia</t>
  </si>
  <si>
    <t>Khách mời</t>
  </si>
  <si>
    <t>Nội bộ</t>
  </si>
  <si>
    <t>Ghi chú</t>
  </si>
  <si>
    <t>Địa điểm: Khu liên hiệp thể thao Thanh Hà - Hà Nội</t>
  </si>
  <si>
    <t>2. Thể thức</t>
  </si>
  <si>
    <t>- Xác định thứ hạng 1-2-3-4</t>
  </si>
  <si>
    <t>3. Lịch thi đấu dự kiến</t>
  </si>
  <si>
    <t>Tổng: 8 trận đấu</t>
  </si>
  <si>
    <t>4. Nhân sự</t>
  </si>
  <si>
    <t>Tứ kết: 1 trọng tài/trận</t>
  </si>
  <si>
    <t>Bán kết: 2 trọng tài/trận</t>
  </si>
  <si>
    <t>Chung kết, tranh ba-tư: 2 trọng tài/trận</t>
  </si>
  <si>
    <t>Tổng số lượt: 12</t>
  </si>
  <si>
    <t>5. CCDC &amp; vật tư khác</t>
  </si>
  <si>
    <t>Bóng thi đấu</t>
  </si>
  <si>
    <t>Áo luyện tập Bóng đá</t>
  </si>
  <si>
    <t>Lưới màu xanh chuối</t>
  </si>
  <si>
    <t>Lưới màu đỏ</t>
  </si>
  <si>
    <t>Nước</t>
  </si>
  <si>
    <t>Dasani: 2 thùng (24c 330ml)/ trận</t>
  </si>
  <si>
    <t>Số lượng: 16 thùng</t>
  </si>
  <si>
    <t>Số lượng: 8 quả</t>
  </si>
  <si>
    <t>Đôi Nam</t>
  </si>
  <si>
    <t>Đôi Nam - Nữ</t>
  </si>
  <si>
    <t>Đôi Nữ</t>
  </si>
  <si>
    <t>Số lượng: 54 quả (3 quả/hộp)</t>
  </si>
  <si>
    <t>Bóng Pickleball Ewin 48 lỗ (hộp 3 quả)</t>
  </si>
  <si>
    <t>Dasani: thùng (24c 330ml)</t>
  </si>
  <si>
    <t>Số lượng: 16 thùng/ 2 ngày</t>
  </si>
  <si>
    <t>Lưu Quốc Việt</t>
  </si>
  <si>
    <t>GIẢI THỂ THAO MƯỜNG THANH MỞ RỘNG 2026 - MÔN: BÓNG ĐÁ NAM</t>
  </si>
  <si>
    <t>Giá: 120.000đ/hộp</t>
  </si>
  <si>
    <t>Thời gian: 19-20.09.2026</t>
  </si>
  <si>
    <t>Nội dung</t>
  </si>
  <si>
    <t>Trưởng phòng Đào tạo và KSCL</t>
  </si>
  <si>
    <t>Giám đốc Công nghệ thông tin</t>
  </si>
  <si>
    <t>Trưởng phòng Kiểm toán nội bộ</t>
  </si>
  <si>
    <t>Giám sát Phần mềm</t>
  </si>
  <si>
    <t>Tạ Diệp Anh</t>
  </si>
  <si>
    <t>Trần Đại Nghĩa</t>
  </si>
  <si>
    <t>Ông</t>
  </si>
  <si>
    <t>Nguyễn Tuấn Long</t>
  </si>
  <si>
    <t>Nguyễn Văn Thắng</t>
  </si>
  <si>
    <t>Nguyễn Huy Nhân</t>
  </si>
  <si>
    <t>Giảng viên cấp cao</t>
  </si>
  <si>
    <t>Lê Thị Thu Nguyệt</t>
  </si>
  <si>
    <t>Ngày 19.09.2026</t>
  </si>
  <si>
    <t>Chi tiết trong kịch bản của Ban Sự kiện</t>
  </si>
  <si>
    <t>Ăn trưa - Nghỉ trưa</t>
  </si>
  <si>
    <t>Số điện thoại</t>
  </si>
  <si>
    <t>CÔNG TY CP TẬP ĐOÀN MƯỜNG THANH</t>
  </si>
  <si>
    <t xml:space="preserve">DANH SÁCH KHÁCH MỜI KHU VỰC HÀ NỘI THAM GIA GIẢI PICKLE BALL VÀ BÓNG ĐÁ MƯỜNG THANH 2026 </t>
  </si>
  <si>
    <t>STT1</t>
  </si>
  <si>
    <t>STT2</t>
  </si>
  <si>
    <t>Nội dung  thi đấu</t>
  </si>
  <si>
    <t>Tên đơn vị  tham gia</t>
  </si>
  <si>
    <t>Tên cá nhân tham gia</t>
  </si>
  <si>
    <t>Chức danh</t>
  </si>
  <si>
    <t>Người liên hệ</t>
  </si>
  <si>
    <t>Bóng đá nam</t>
  </si>
  <si>
    <t>Lê Chí Đức</t>
  </si>
  <si>
    <t>Nguyễn Dương Tùng</t>
  </si>
  <si>
    <t>Đỗ Trung Kiên</t>
  </si>
  <si>
    <t>Bùi Hữu Minh</t>
  </si>
  <si>
    <t>Phạm Hải Hà</t>
  </si>
  <si>
    <t>Trần Trọng Nghĩa</t>
  </si>
  <si>
    <t>Vũ Ngọc Thái</t>
  </si>
  <si>
    <t>Phùng Tuấn Cường</t>
  </si>
  <si>
    <t>Hoàng Văn Nam</t>
  </si>
  <si>
    <t>Thái Anh Đức</t>
  </si>
  <si>
    <t>Lê Thành Tuyên</t>
  </si>
  <si>
    <t>Nguyễn Hoàng Dương</t>
  </si>
  <si>
    <t>Đoàn Mạnh Trung</t>
  </si>
  <si>
    <t>Đào Huỳnh Đức</t>
  </si>
  <si>
    <t>Hoàng Đức Huy</t>
  </si>
  <si>
    <t>Đào Nhật Quang</t>
  </si>
  <si>
    <t>Nguyễn Văn Hoàng</t>
  </si>
  <si>
    <t>Võ Minh Tuấn</t>
  </si>
  <si>
    <t>Bùi Đức Anh</t>
  </si>
  <si>
    <t>Dương Ngọc Minh</t>
  </si>
  <si>
    <t>Nguyễn Thanh Hà</t>
  </si>
  <si>
    <t>Nguyễn Trọng Vương</t>
  </si>
  <si>
    <t>Bùi Văn Huỳnh</t>
  </si>
  <si>
    <t>Nguyễn Hoàng Sơn</t>
  </si>
  <si>
    <t>Trần Chí Lê</t>
  </si>
  <si>
    <t>Nguyễn Mạnh Tiến</t>
  </si>
  <si>
    <t>Vũ Hoàng Long</t>
  </si>
  <si>
    <t>Quàng Văn Linh</t>
  </si>
  <si>
    <t>Dương Quốc Bảo</t>
  </si>
  <si>
    <t>Hà Văn Trường</t>
  </si>
  <si>
    <t>Trần Công Minh</t>
  </si>
  <si>
    <t>Nguyễn Tiến Công</t>
  </si>
  <si>
    <t>Đội bóng đá Trường Sa</t>
  </si>
  <si>
    <t>Dương Văn Theo</t>
  </si>
  <si>
    <t>Phạm Văn Sang</t>
  </si>
  <si>
    <t>Đinh Bảo Trung</t>
  </si>
  <si>
    <t>Trần Trung Kiên</t>
  </si>
  <si>
    <t>Đỗ Hoài Nam</t>
  </si>
  <si>
    <t>Nguyễn Văn Thiện</t>
  </si>
  <si>
    <t>Nguyễn Văn Thái</t>
  </si>
  <si>
    <t>Hoàng Minh Tuấn</t>
  </si>
  <si>
    <t>Nguyễn Đức Hùng</t>
  </si>
  <si>
    <t>Đào Việt Hà</t>
  </si>
  <si>
    <t>Nguyễn Tiến Thăng</t>
  </si>
  <si>
    <t>Hoàng Anh Quân</t>
  </si>
  <si>
    <t>Cao Thái Đồng</t>
  </si>
  <si>
    <t>Chu Văn Long</t>
  </si>
  <si>
    <t>Lê Sỹ Tính</t>
  </si>
  <si>
    <t>Bùi Công Chính</t>
  </si>
  <si>
    <t>Phạm Anh Tâm</t>
  </si>
  <si>
    <t>Lê Duy Linh</t>
  </si>
  <si>
    <t>Nghiêm Văn Phú</t>
  </si>
  <si>
    <t>Nguyễn Đăng Khánh</t>
  </si>
  <si>
    <t>Hồ Việt Dũng</t>
  </si>
  <si>
    <t>Nguyễn Quốc Toản</t>
  </si>
  <si>
    <t>Nguyễn Đức Thành</t>
  </si>
  <si>
    <t>Đỗ Văn Lộc</t>
  </si>
  <si>
    <t>Vũ Thế Vinh</t>
  </si>
  <si>
    <t>FC Doza</t>
  </si>
  <si>
    <t>Hoàng Đức Trung</t>
  </si>
  <si>
    <t>Phạm Minh Hiếu</t>
  </si>
  <si>
    <t>Nguyễn Đình Phong</t>
  </si>
  <si>
    <t>Trịnh Hải Hoàng</t>
  </si>
  <si>
    <t>Lê Thành Vinh</t>
  </si>
  <si>
    <t>Triệu Huy Dũng</t>
  </si>
  <si>
    <t>Hoàng Anh Nhật</t>
  </si>
  <si>
    <t>Vũ Đức Thông</t>
  </si>
  <si>
    <t>Pickle ball đôi nam</t>
  </si>
  <si>
    <t>Công ty Toàn Thiện + Tâm Việt</t>
  </si>
  <si>
    <t>Công ty Bê tông Thương phẩm Hà Thành</t>
  </si>
  <si>
    <t>Đào Mạnh Toàn</t>
  </si>
  <si>
    <t xml:space="preserve">Công ty DoZa </t>
  </si>
  <si>
    <t>BIDV Nam Hà Nội + TCM</t>
  </si>
  <si>
    <t>Pickle ball đôi nam - nữ</t>
  </si>
  <si>
    <t>Công ty Thái Sơn</t>
  </si>
  <si>
    <t>Pickle ball đôi nữ</t>
  </si>
  <si>
    <t>Vũ Hồng Phú</t>
  </si>
  <si>
    <t xml:space="preserve">Phạm Thanh Bình </t>
  </si>
  <si>
    <t xml:space="preserve">Lê Văn An </t>
  </si>
  <si>
    <t xml:space="preserve">Trần Phú Sơn </t>
  </si>
  <si>
    <t xml:space="preserve">Phạm Ngọc Tân </t>
  </si>
  <si>
    <t xml:space="preserve">Lê Đình Hợi </t>
  </si>
  <si>
    <t xml:space="preserve">Đào Mạnh Toàn </t>
  </si>
  <si>
    <t xml:space="preserve">Hoàng Đức Trung </t>
  </si>
  <si>
    <t xml:space="preserve">Dương Văn Theo </t>
  </si>
  <si>
    <t xml:space="preserve">Nguyễn Văn Thành Trung </t>
  </si>
  <si>
    <t xml:space="preserve">Đinh Duy Long </t>
  </si>
  <si>
    <t xml:space="preserve">Vi Ngọc Thảo </t>
  </si>
  <si>
    <t xml:space="preserve">Đỗ Duy Tiến </t>
  </si>
  <si>
    <t xml:space="preserve">Trần Ngọc Tân </t>
  </si>
  <si>
    <t xml:space="preserve">Nguyễn Việt Cường </t>
  </si>
  <si>
    <t xml:space="preserve">Mai Quốc Huy </t>
  </si>
  <si>
    <t xml:space="preserve">Phạm Duy Khánh </t>
  </si>
  <si>
    <t xml:space="preserve">Trần Đình Khôi </t>
  </si>
  <si>
    <t xml:space="preserve">Nguyễn Thị Thuỷ </t>
  </si>
  <si>
    <t xml:space="preserve">Trần Thị Tương </t>
  </si>
  <si>
    <t xml:space="preserve">Trần Văn Liên </t>
  </si>
  <si>
    <t xml:space="preserve">Bùi Danh Lam </t>
  </si>
  <si>
    <t xml:space="preserve">Nguyễn Thanh Tùng </t>
  </si>
  <si>
    <t xml:space="preserve">Nguyễn Anh Hào </t>
  </si>
  <si>
    <t xml:space="preserve">Nguyễn Đức Thành </t>
  </si>
  <si>
    <t xml:space="preserve">Vũ Thế Vinh </t>
  </si>
  <si>
    <t xml:space="preserve">Vũ Thị Thanh An </t>
  </si>
  <si>
    <t xml:space="preserve">Đinh Thị Thu Hà </t>
  </si>
  <si>
    <t xml:space="preserve">Nguyễn Hồng Hoa </t>
  </si>
  <si>
    <t xml:space="preserve">Mai Thị Bích Thuận </t>
  </si>
  <si>
    <t xml:space="preserve">Nguyễn Ngọc Anh </t>
  </si>
  <si>
    <t xml:space="preserve">Trần Mai Hân </t>
  </si>
  <si>
    <t>Triệu Xuân Phú</t>
  </si>
  <si>
    <t xml:space="preserve">Bùi Gia Mão </t>
  </si>
  <si>
    <t>Hồ Thành Trung</t>
  </si>
  <si>
    <t>Trần Việt Hoàng</t>
  </si>
  <si>
    <t>Mai Trung Dũng</t>
  </si>
  <si>
    <t xml:space="preserve">Hà Anh Tuấn </t>
  </si>
  <si>
    <t xml:space="preserve">Vũ Trung Kiên </t>
  </si>
  <si>
    <t>Trần Thế Anh</t>
  </si>
  <si>
    <t>Tạ Anh Tuấn</t>
  </si>
  <si>
    <t>Lê Văn Cường</t>
  </si>
  <si>
    <t>Trần Quang Hòa</t>
  </si>
  <si>
    <t>Trần Thanh Tùng</t>
  </si>
  <si>
    <t>Nguyễn Văn Ninh</t>
  </si>
  <si>
    <t>Trần Văn Liên</t>
  </si>
  <si>
    <t>Phạm Khắc Thụy</t>
  </si>
  <si>
    <t>Trần Thanh Tú TCM</t>
  </si>
  <si>
    <t>Nguyễn Thanh Tùng</t>
  </si>
  <si>
    <t>Nguyễn Anh Hào</t>
  </si>
  <si>
    <t>Trần Long</t>
  </si>
  <si>
    <t>Đinh Thị Thu Hà</t>
  </si>
  <si>
    <t>Vũ Thị Thanh An</t>
  </si>
  <si>
    <t>Lương Thị Thu Thủy</t>
  </si>
  <si>
    <t>Hoàng Thị Lan Hương</t>
  </si>
  <si>
    <t>Mã Mai Hoa</t>
  </si>
  <si>
    <t>Nguyễn Ngọc Anh</t>
  </si>
  <si>
    <t>Vũ Thị Thu Minh</t>
  </si>
  <si>
    <t>Lương Thị Thu Thuỷ</t>
  </si>
  <si>
    <t>Hoàng Lan Hương</t>
  </si>
  <si>
    <t>Bùi Thị Ngọc Mai</t>
  </si>
  <si>
    <t>Nguyễn Lan Phương</t>
  </si>
  <si>
    <t>BIDV Nam Hà Nội 1</t>
  </si>
  <si>
    <t>BIDV Nam Hà Nội 2</t>
  </si>
  <si>
    <t>BIDV Nam Hà Nội 3</t>
  </si>
  <si>
    <t>BIDV Nam Hà Nội 4</t>
  </si>
  <si>
    <t>BIDV Nam Hà Nội 5</t>
  </si>
  <si>
    <t>BIDV Nam Hà Nội 6</t>
  </si>
  <si>
    <t>BIDV Nam Hà Nội 7</t>
  </si>
  <si>
    <t>Ms. Bee Nguyễn và những người bạn 1</t>
  </si>
  <si>
    <t>Ms. Bee Nguyễn và những người bạn 2</t>
  </si>
  <si>
    <t>BIDV Nam Hà Nội 8</t>
  </si>
  <si>
    <t>Công ty Bê tông Thương phẩm Hà Thành 1</t>
  </si>
  <si>
    <t>Công ty Bê tông Thương phẩm Hà Thành 2</t>
  </si>
  <si>
    <t>Công ty ALPHA</t>
  </si>
  <si>
    <t>Nội dung thi đấu</t>
  </si>
  <si>
    <t>Tên đơn vị tham gia</t>
  </si>
  <si>
    <t>Nguyễn Đình Hào</t>
  </si>
  <si>
    <t>Nhánh 1</t>
  </si>
  <si>
    <t>Nhánh 2</t>
  </si>
  <si>
    <t>BĐ Nam 1</t>
  </si>
  <si>
    <t>BĐ Nam 2</t>
  </si>
  <si>
    <t>BĐ Nam 3</t>
  </si>
  <si>
    <t>BĐ Nam 4</t>
  </si>
  <si>
    <t>BĐ Nam 5</t>
  </si>
  <si>
    <t>BĐ Nam 6</t>
  </si>
  <si>
    <t>BĐ Nam 7</t>
  </si>
  <si>
    <t>BĐ Nam 8</t>
  </si>
  <si>
    <t>Bán kết 1</t>
  </si>
  <si>
    <t>Bán kết 2</t>
  </si>
  <si>
    <t>Bán kết 3</t>
  </si>
  <si>
    <t>Bán kết 4</t>
  </si>
  <si>
    <t>Chung kết</t>
  </si>
  <si>
    <t>Ba-Tư</t>
  </si>
  <si>
    <t>MB</t>
  </si>
  <si>
    <t>DKV</t>
  </si>
  <si>
    <t>Tổng số</t>
  </si>
  <si>
    <t>FC Soho</t>
  </si>
  <si>
    <t>FC CL</t>
  </si>
  <si>
    <t>Đội bóng đá nam FC Soho</t>
  </si>
  <si>
    <t>Nguyễn Đức Thắng</t>
  </si>
  <si>
    <t>Đội bóng đá nam FC CL</t>
  </si>
  <si>
    <t>Nguyễn Khắc Chinh</t>
  </si>
  <si>
    <t>Ms. Bee Nguyễn và những người bạn 3</t>
  </si>
  <si>
    <t>Ms. Bee Nguyễn và những người bạn 4</t>
  </si>
  <si>
    <t>Ms. Bee Nguyễn và những người bạn 5</t>
  </si>
  <si>
    <t>Ms. Bee Nguyễn và những người bạn 6</t>
  </si>
  <si>
    <t>Nguyễn Sơn Nam</t>
  </si>
  <si>
    <t>Phạm Hồng Quân</t>
  </si>
  <si>
    <t>Lê Gia Phong</t>
  </si>
  <si>
    <t>Nguyễn Nhật Minh</t>
  </si>
  <si>
    <t>Nguyễn Mạnh Việt</t>
  </si>
  <si>
    <t>Đinh Trọng Tiến Dũng</t>
  </si>
  <si>
    <t>Nguyễn Ngọc Quỳnh</t>
  </si>
  <si>
    <t xml:space="preserve">Nguyễn Đức Thắng </t>
  </si>
  <si>
    <t>Nguyễn Phương Anh</t>
  </si>
  <si>
    <t>Đặng Thị Hồng Nhung</t>
  </si>
  <si>
    <t xml:space="preserve">Nguyễn Mạnh Việt </t>
  </si>
  <si>
    <t>Lê Phương Khanh</t>
  </si>
  <si>
    <t xml:space="preserve">Lê Gia Phong </t>
  </si>
  <si>
    <t>Nguyễn Việt Nga</t>
  </si>
  <si>
    <t>Nguyễn Thanh Thùy</t>
  </si>
  <si>
    <t>Ms. Bee Nguyễn và những người bạn 7</t>
  </si>
  <si>
    <t>Đk nội bộ</t>
  </si>
  <si>
    <t>Note 21.08.2026:</t>
  </si>
  <si>
    <t>Điều chỉnh tính toán khai mạc đủ các đội</t>
  </si>
  <si>
    <t>Giải pick gói gọn trong 1 ngày, nếu đông có thể điều chỉnh thể thức</t>
  </si>
  <si>
    <t>Event 250 người</t>
  </si>
  <si>
    <t>Địa điểm - Thanh Hà</t>
  </si>
  <si>
    <t>Thời 
lượng</t>
  </si>
  <si>
    <t>Giờ 
bắt đầu</t>
  </si>
  <si>
    <t>Giờ 
kết thúc</t>
  </si>
  <si>
    <t>Khu vực sân Bóng rổ</t>
  </si>
  <si>
    <t>2 nam</t>
  </si>
  <si>
    <t>2 nam - nữ</t>
  </si>
  <si>
    <t>2 nữ</t>
  </si>
  <si>
    <t>Sân bóng</t>
  </si>
  <si>
    <t>Sân 1</t>
  </si>
  <si>
    <t>Sân 2</t>
  </si>
  <si>
    <t>Tứ kết 1</t>
  </si>
  <si>
    <t>Tứ kết 2</t>
  </si>
  <si>
    <t>Tứ kết 3</t>
  </si>
  <si>
    <t>Tứ kết 4</t>
  </si>
  <si>
    <t>- Thành phần phục vụ FOC: BTC + VĐV + Cổ động viên theo đăng ký và vòng kiểm soát
- Món: nhẹ nhàng, sandwich…</t>
  </si>
  <si>
    <t>Khai mạc 2 Môn - Toàn bộ BTC, VĐV, CĐV</t>
  </si>
  <si>
    <t>Nam TK 01</t>
  </si>
  <si>
    <t>Nam TK 02</t>
  </si>
  <si>
    <t>Nam TK 03</t>
  </si>
  <si>
    <t>Nam TK 04</t>
  </si>
  <si>
    <t>Nữ TK 01</t>
  </si>
  <si>
    <t>Nữ TK 02</t>
  </si>
  <si>
    <t>Nữ TK 03</t>
  </si>
  <si>
    <t>Nữ TK 04</t>
  </si>
  <si>
    <t>N.Nữ TK 01</t>
  </si>
  <si>
    <t>N.Nữ TK 02</t>
  </si>
  <si>
    <t>N.Nữ TK 03</t>
  </si>
  <si>
    <t>N.Nữ TK 04</t>
  </si>
  <si>
    <t>Pick vòng loại:
- 7 sân - dự kiến 15p/trận
- 1 sét chạm 15đ
- sân trống là cho đấu luôn
- thứ tự là tạm xếp. Trường hợp trùng lịch sẽ thương lượng để đổi</t>
  </si>
  <si>
    <t>Nam BK 01</t>
  </si>
  <si>
    <t>Nam BK 02</t>
  </si>
  <si>
    <t>Nữ BK 01</t>
  </si>
  <si>
    <t>Nữ BK 02</t>
  </si>
  <si>
    <t>N.Nữ BK 01</t>
  </si>
  <si>
    <t>N.Nữ BK 02</t>
  </si>
  <si>
    <t>Nam 3-4</t>
  </si>
  <si>
    <t>Nam CK</t>
  </si>
  <si>
    <t>Nữ 3-4</t>
  </si>
  <si>
    <t>Nữ CK</t>
  </si>
  <si>
    <t>N.Nữ 3-4</t>
  </si>
  <si>
    <t>N.Nữ CK</t>
  </si>
  <si>
    <t>Dự phòng để giãn giờ - đảm bảo thể lực VĐV</t>
  </si>
  <si>
    <t>Vòng Bán kết</t>
  </si>
  <si>
    <t>Vòng Tứ kết</t>
  </si>
  <si>
    <t>Teabreak phục vụ xuyên suốt:
- Nước suối
- Trà
- Cà phê
- Nước điện giải Pocari
- Bia
- Bánh ngọt
- Trài cây</t>
  </si>
  <si>
    <t>Tranh 3-4</t>
  </si>
  <si>
    <t>Dự kiến phân nhánh</t>
  </si>
  <si>
    <t>Sáng thứ 7, 19/9: 4 trận tứ kết</t>
  </si>
  <si>
    <t>Giá TK: 1.200.000đ/quả</t>
  </si>
  <si>
    <t>Giá TK: 50.000đ/chiếc</t>
  </si>
  <si>
    <t>Giá TK: tính cùng Ban Hậu cần</t>
  </si>
  <si>
    <t>Chỉ tiêu NBI</t>
  </si>
  <si>
    <t>Sáng thứ 7, 19/9: Các trận vòng loại</t>
  </si>
  <si>
    <t>Chiều thứ 7, 19/9: Các trận vòng Tứ kết, Bán kết, Chung kết 3-4</t>
  </si>
  <si>
    <t>2 trọng tài/trận - Dự kiến:
- Thuê ngoài: 7 người
- Nội bộ: 7 người</t>
  </si>
  <si>
    <t>Danh sách trọng tài nội bộ</t>
  </si>
  <si>
    <t>Tổng số lượt: 7 người/ 7 sân</t>
  </si>
  <si>
    <t>Nguyễn Duy Anh</t>
  </si>
  <si>
    <t>Chuyên viên Tài chính</t>
  </si>
  <si>
    <t>Giám sát Lập trình cơ sở dữ liệu cấp cao</t>
  </si>
  <si>
    <t>Technical Timeout</t>
  </si>
  <si>
    <t>Medical Timeout</t>
  </si>
  <si>
    <t>Tên đoàn (in biển)</t>
  </si>
  <si>
    <t>FC Nhà Mường</t>
  </si>
  <si>
    <t>Nhà thầu Mường Thanh</t>
  </si>
  <si>
    <t>Bee's choice</t>
  </si>
  <si>
    <t xml:space="preserve">BIDV Nam Hà Nội </t>
  </si>
  <si>
    <t>(cá nhân)</t>
  </si>
  <si>
    <t>Ngân hàng TMCP Quân Đội</t>
  </si>
  <si>
    <t>Ngân hàng TMCP Quân Đội 1</t>
  </si>
  <si>
    <t>Ngân hàng TMCP Quân Đội 2</t>
  </si>
  <si>
    <t>Ngân hàng TMCP Quân Đội 3</t>
  </si>
  <si>
    <t>FC Trường Sa</t>
  </si>
  <si>
    <t>Tập đoàn Mường Thanh</t>
  </si>
  <si>
    <t>Nguyễn Thị Thu Thảo</t>
  </si>
  <si>
    <t>Trần Thị Hạnh</t>
  </si>
  <si>
    <t>Trần Khánh Vân</t>
  </si>
  <si>
    <t>Mường Thanh Luxury Bắc Giang</t>
  </si>
  <si>
    <t>Văn phòng Tập đoàn 2</t>
  </si>
  <si>
    <t>Dương Thị Nhung</t>
  </si>
  <si>
    <t>Cienco5 và DHE 1</t>
  </si>
  <si>
    <t>Cienco5 và DHE 2</t>
  </si>
  <si>
    <t>Cienco5 và DHE 3</t>
  </si>
  <si>
    <t>Hoàng Thị Thu Hương</t>
  </si>
  <si>
    <t>Trương Thị Tuyết</t>
  </si>
  <si>
    <t>Võ Thanh Hoài</t>
  </si>
  <si>
    <t>GIẢI THỂ THAO MƯỜNG THANH MỞ RỘNG 2026 - MÔN: BÓNG ĐÁ NAM SÂN 7</t>
  </si>
  <si>
    <t>GIẢI THỂ THAO MƯỜNG THANH MỞ RỘNG 2026 - MÔN: PICKLE BALL ĐÔI</t>
  </si>
  <si>
    <t>Thời gian: 19.09.2026</t>
  </si>
  <si>
    <t>Pick từ vòng Tứ kết:
- dự kiến 30p/ trận
- 3 sét thắng 2
- sét 11đ (chạm 15đ)</t>
  </si>
  <si>
    <t>Vòng Chung kết</t>
  </si>
  <si>
    <t>- Thi đấu sân 7, thành phần đoàn tối đa 12 người</t>
  </si>
  <si>
    <t>- Bốc thăm chia cặp, đấu loại trực tiếp trong 2 hiệp chính (20p) và loạt đá luân lưu</t>
  </si>
  <si>
    <t xml:space="preserve">Chiều thứ 7, 19/9: 
- 2 trận bán kết
- 2 trận chung kết, tranh ba-tư </t>
  </si>
  <si>
    <t>Số lượng: 12 cái</t>
  </si>
  <si>
    <t>- Vòng loại: đánh 1 set, đội nào chạm 15đ trước là thắng (14đ-15đ là dừng). Phân nhánh thắng - nhánh thua</t>
  </si>
  <si>
    <t>- Vòng loại có 1 quyền</t>
  </si>
  <si>
    <t>+ Pick đôi Nam</t>
  </si>
  <si>
    <t>Vòng 1</t>
  </si>
  <si>
    <t>Vòng 2</t>
  </si>
  <si>
    <t>1 phút</t>
  </si>
  <si>
    <t>32 đội chia làm 16 cặp, xác định 16 đội vào nhánh thắng (A) - 16 đội vào nhánh thua (B)</t>
  </si>
  <si>
    <t>16 đội A theo thứ tự thi đấu để bắt cặp, xác định 8 đội thắng (A1) và 8 đội thua (A2)</t>
  </si>
  <si>
    <t>16 đội B theo thứ tự thi đấu để bắt cặp, xác định 8 đội thắng (B1) và 8 đội thua (B2)</t>
  </si>
  <si>
    <t>Vòng 3</t>
  </si>
  <si>
    <t>Vòng 4</t>
  </si>
  <si>
    <t>8 đội A2 và 8 đội B1 theo thứ tự thi đấu xác định 8 đội thắng đi tiếp vào vòng 4</t>
  </si>
  <si>
    <t>8 đội A1 và 8 đội thắng tại vòng 3 theo thứ tự thi đấu xác định 8 đội vào Tứ kết</t>
  </si>
  <si>
    <t>+ Pick đôi Nữ</t>
  </si>
  <si>
    <t>16 đội chia làm 8 cặp, xác định 8 đội vào nhánh thắng (A) - 8 đội vào nhánh thua (B)</t>
  </si>
  <si>
    <t>8 đội A theo thứ tự thi đấu để bắt cặp, xác định 4 đội thắng (A1) và 4 đội thua (A2)</t>
  </si>
  <si>
    <t>8 đội B theo thứ tự thi đấu để bắt cặp, xác định 4 đội thắng (B1) và 4 đội thua (B2)</t>
  </si>
  <si>
    <t>4 đội A2 và 4 đội B1 theo thứ tự thi đấu xác định 4 đội thắng đi tiếp vào Tứ kết</t>
  </si>
  <si>
    <t>8 A1 được nghỉ - 8 B2 bị loại</t>
  </si>
  <si>
    <t>4 A1 được nghỉ - 4 B2 bị loại</t>
  </si>
  <si>
    <t>+ Pick đôi Nam-Nữ</t>
  </si>
  <si>
    <t>- Bốc thăm chia cặp hoặc chia bảng đấu vòng tròn tính điểm, ưu tiên cùng đơn vị không gặp nhau tại vòng đầu</t>
  </si>
  <si>
    <t>Vòng bảng</t>
  </si>
  <si>
    <t>24 đội bốc thăm chia làm 8 bảng, mỗi bảng 3 đội</t>
  </si>
  <si>
    <t>- Từ Tứ kết trở đi ngoài</t>
  </si>
  <si>
    <t>có thêm</t>
  </si>
  <si>
    <t>3 phút</t>
  </si>
  <si>
    <t>- Từ vòng Tứ kết trở đi, đánh 3 set 11đ (14đ-15đ là dừng), thắng trước 2 set thì dừng</t>
  </si>
  <si>
    <t>Tổng: ... trận đấu (tham khảo sheet Agenda)/ 7 sân</t>
  </si>
  <si>
    <t>Bảng thi đấu vòng tròn tính điểm, chọn đội nhất bảng vào vòng Tứ kết (nếu bằng điểm trận thì tính tổng điểm từng sét)</t>
  </si>
  <si>
    <t>Đỗ Thị Thu Hà</t>
  </si>
  <si>
    <t>Trần Huyền Trang</t>
  </si>
  <si>
    <t>Phùng Tuấn Anh</t>
  </si>
  <si>
    <t>Tô Văn Cường</t>
  </si>
  <si>
    <t>Nguyễn Xuân Cương</t>
  </si>
  <si>
    <t>Nguyễn Trọng Báu</t>
  </si>
  <si>
    <t>Công ty Cổ phần Xây Dựng Doza</t>
  </si>
  <si>
    <t>TRAO GIẢI CHUNG</t>
  </si>
  <si>
    <t>Đặng Thị Xuốt</t>
  </si>
  <si>
    <t>32 Đôi NAM</t>
  </si>
  <si>
    <t>Trận R1-01</t>
  </si>
  <si>
    <t>Trận R1-02</t>
  </si>
  <si>
    <t>Trận R1-03</t>
  </si>
  <si>
    <t>Trận R1-04</t>
  </si>
  <si>
    <t>Trận R1-05</t>
  </si>
  <si>
    <t>Trận R1-06</t>
  </si>
  <si>
    <t>Trận R1-07</t>
  </si>
  <si>
    <t>Trận R1-08</t>
  </si>
  <si>
    <t>Trận R1-09</t>
  </si>
  <si>
    <t>Trận R1-10</t>
  </si>
  <si>
    <t>Trận R1-11</t>
  </si>
  <si>
    <t>Trận R1-12</t>
  </si>
  <si>
    <t>Trận R1-13</t>
  </si>
  <si>
    <t>Trận R1-14</t>
  </si>
  <si>
    <t>Trận R1-15</t>
  </si>
  <si>
    <t>Trận R1-16</t>
  </si>
  <si>
    <t>Thắng R1-01</t>
  </si>
  <si>
    <t>Thắng R1-02</t>
  </si>
  <si>
    <t>Thắng R1-03</t>
  </si>
  <si>
    <t>Thắng R1-04</t>
  </si>
  <si>
    <t>Thắng R1-05</t>
  </si>
  <si>
    <t>Thắng R1-06</t>
  </si>
  <si>
    <t>Thắng R1-07</t>
  </si>
  <si>
    <t>Thắng R1-08</t>
  </si>
  <si>
    <t>Thắng R1-09</t>
  </si>
  <si>
    <t>Thắng R1-10</t>
  </si>
  <si>
    <t>Thắng R1-11</t>
  </si>
  <si>
    <t>Thắng R1-12</t>
  </si>
  <si>
    <t>Thắng R1-13</t>
  </si>
  <si>
    <t>Thắng R1-14</t>
  </si>
  <si>
    <t>Thắng R1-15</t>
  </si>
  <si>
    <t>Thắng R1-16</t>
  </si>
  <si>
    <t>Bại R1-01</t>
  </si>
  <si>
    <t>Bại R1-02</t>
  </si>
  <si>
    <t>Bại R1-03</t>
  </si>
  <si>
    <t>Bại R1-04</t>
  </si>
  <si>
    <t>Bại R1-05</t>
  </si>
  <si>
    <t>Bại R1-06</t>
  </si>
  <si>
    <t>Bại R1-07</t>
  </si>
  <si>
    <t>Bại R1-08</t>
  </si>
  <si>
    <t>Bại R1-09</t>
  </si>
  <si>
    <t>Bại R1-10</t>
  </si>
  <si>
    <t>Bại R1-11</t>
  </si>
  <si>
    <t>Bại R1-12</t>
  </si>
  <si>
    <t>Bại R1-13</t>
  </si>
  <si>
    <t>Bại R1-14</t>
  </si>
  <si>
    <t>Bại R1-15</t>
  </si>
  <si>
    <t>Bại R1-16</t>
  </si>
  <si>
    <t>Tên đội</t>
  </si>
  <si>
    <t>Mã trận</t>
  </si>
  <si>
    <t>Trận R2-01</t>
  </si>
  <si>
    <t>Trận R2-02</t>
  </si>
  <si>
    <t>Trận R2-03</t>
  </si>
  <si>
    <t>Trận R2-04</t>
  </si>
  <si>
    <t>Trận R2-05</t>
  </si>
  <si>
    <t>Trận R2-06</t>
  </si>
  <si>
    <t>Trận R2-07</t>
  </si>
  <si>
    <t>Trận R2-08</t>
  </si>
  <si>
    <t>Trận R2-09</t>
  </si>
  <si>
    <t>Trận R2-10</t>
  </si>
  <si>
    <t>Trận R2-11</t>
  </si>
  <si>
    <t>Trận R2-12</t>
  </si>
  <si>
    <t>Trận R2-13</t>
  </si>
  <si>
    <t>Trận R2-14</t>
  </si>
  <si>
    <t>Trận R2-15</t>
  </si>
  <si>
    <t>Trận R2-16</t>
  </si>
  <si>
    <t>Thắng R2-01</t>
  </si>
  <si>
    <t>Đôi Nam 01</t>
  </si>
  <si>
    <t>Đôi Nam 02</t>
  </si>
  <si>
    <t>Đôi Nam 03</t>
  </si>
  <si>
    <t>Đôi Nam 04</t>
  </si>
  <si>
    <t>Đôi Nam 05</t>
  </si>
  <si>
    <t>Đôi Nam 06</t>
  </si>
  <si>
    <t>Đôi Nam 07</t>
  </si>
  <si>
    <t>Đôi Nam 08</t>
  </si>
  <si>
    <t>Đôi Nam 09</t>
  </si>
  <si>
    <t>Đôi Nam 10</t>
  </si>
  <si>
    <t>Đôi Nam 11</t>
  </si>
  <si>
    <t>Đôi Nam 12</t>
  </si>
  <si>
    <t>Đôi Nam 13</t>
  </si>
  <si>
    <t>Đôi Nam 14</t>
  </si>
  <si>
    <t>Đôi Nam 15</t>
  </si>
  <si>
    <t>Đôi Nam 16</t>
  </si>
  <si>
    <t>Đôi Nam 17</t>
  </si>
  <si>
    <t>Đôi Nam 18</t>
  </si>
  <si>
    <t>Đôi Nam 19</t>
  </si>
  <si>
    <t>Đôi Nam 20</t>
  </si>
  <si>
    <t>Đôi Nam 21</t>
  </si>
  <si>
    <t>Đôi Nam 22</t>
  </si>
  <si>
    <t>Đôi Nam 23</t>
  </si>
  <si>
    <t>Đôi Nam 24</t>
  </si>
  <si>
    <t>Đôi Nam 25</t>
  </si>
  <si>
    <t>Đôi Nam 26</t>
  </si>
  <si>
    <t>Đôi Nam 27</t>
  </si>
  <si>
    <t>Đôi Nam 28</t>
  </si>
  <si>
    <t>Đôi Nam 29</t>
  </si>
  <si>
    <t>Đôi Nam 30</t>
  </si>
  <si>
    <t>Đôi Nam 31</t>
  </si>
  <si>
    <t>Đôi Nam 32</t>
  </si>
  <si>
    <t>Thắng R2-02</t>
  </si>
  <si>
    <t>Thắng R2-03</t>
  </si>
  <si>
    <t>Thắng R2-04</t>
  </si>
  <si>
    <t>Thắng R2-05</t>
  </si>
  <si>
    <t>Thắng R2-06</t>
  </si>
  <si>
    <t>Thắng R2-07</t>
  </si>
  <si>
    <t>Thắng R2-08</t>
  </si>
  <si>
    <t>Được nghỉ</t>
  </si>
  <si>
    <t>Bại R2-09</t>
  </si>
  <si>
    <t>Bại R2-10</t>
  </si>
  <si>
    <t>Bại R2-11</t>
  </si>
  <si>
    <t>Bại R2-12</t>
  </si>
  <si>
    <t>Bại R2-13</t>
  </si>
  <si>
    <t>Bại R2-14</t>
  </si>
  <si>
    <t>Bại R2-15</t>
  </si>
  <si>
    <t>Bại R2-16</t>
  </si>
  <si>
    <t>Bị loại</t>
  </si>
  <si>
    <t>Thắng R2-09</t>
  </si>
  <si>
    <t>Thắng R2-10</t>
  </si>
  <si>
    <t>Thắng R2-11</t>
  </si>
  <si>
    <t>Thắng R2-12</t>
  </si>
  <si>
    <t>Thắng R2-13</t>
  </si>
  <si>
    <t>Thắng R2-14</t>
  </si>
  <si>
    <t>Thắng R2-15</t>
  </si>
  <si>
    <t>Thắng R2-16</t>
  </si>
  <si>
    <t>Trận R3-01</t>
  </si>
  <si>
    <t>Trận R3-02</t>
  </si>
  <si>
    <t>Trận R3-03</t>
  </si>
  <si>
    <t>Trận R3-04</t>
  </si>
  <si>
    <t>Trận R3-05</t>
  </si>
  <si>
    <t>Trận R3-06</t>
  </si>
  <si>
    <t>Trận R3-07</t>
  </si>
  <si>
    <t>Trận R3-08</t>
  </si>
  <si>
    <t>Thắng R3-01</t>
  </si>
  <si>
    <t>Thắng R3-02</t>
  </si>
  <si>
    <t>Thắng R3-03</t>
  </si>
  <si>
    <t>Thắng R3-04</t>
  </si>
  <si>
    <t>Thắng R3-05</t>
  </si>
  <si>
    <t>Thắng R3-06</t>
  </si>
  <si>
    <t>Thắng R3-07</t>
  </si>
  <si>
    <t>Thắng R3-08</t>
  </si>
  <si>
    <t>Vòng 1 (16 trận)</t>
  </si>
  <si>
    <t>Vòng 2 (16 trận)</t>
  </si>
  <si>
    <t>Vòng 3-PO (8 trận)</t>
  </si>
  <si>
    <t>Trận R4-01</t>
  </si>
  <si>
    <t>Trận R4-02</t>
  </si>
  <si>
    <t>Trận R4-03</t>
  </si>
  <si>
    <t>Trận R4-04</t>
  </si>
  <si>
    <t>Trận R4-05</t>
  </si>
  <si>
    <t>Trận R4-06</t>
  </si>
  <si>
    <t>Trận R4-07</t>
  </si>
  <si>
    <t>Trận R4-08</t>
  </si>
  <si>
    <t>Vòng 4 (8 trận)</t>
  </si>
  <si>
    <t>Thắng R4-01</t>
  </si>
  <si>
    <t>Thắng R4-02</t>
  </si>
  <si>
    <t>Thắng R4-03</t>
  </si>
  <si>
    <t>Thắng R4-04</t>
  </si>
  <si>
    <t>Thắng R4-05</t>
  </si>
  <si>
    <t>Thắng R4-06</t>
  </si>
  <si>
    <t>Thắng R4-07</t>
  </si>
  <si>
    <t>Thắng R4-08</t>
  </si>
  <si>
    <t>Bại R2-01</t>
  </si>
  <si>
    <t>Bại R2-02</t>
  </si>
  <si>
    <t>Bại R2-03</t>
  </si>
  <si>
    <t>Bại R2-04</t>
  </si>
  <si>
    <t>Bại R2-05</t>
  </si>
  <si>
    <t>Bại R2-06</t>
  </si>
  <si>
    <t>Bại R2-07</t>
  </si>
  <si>
    <t>Bại R2-08</t>
  </si>
  <si>
    <t>Tứ kết 01</t>
  </si>
  <si>
    <t>Tứ kết 02</t>
  </si>
  <si>
    <t>Tứ kết 03</t>
  </si>
  <si>
    <t>Tứ kết 04</t>
  </si>
  <si>
    <t>Tứ kết (4 trận)</t>
  </si>
  <si>
    <t>Bán kết (2 trận)</t>
  </si>
  <si>
    <t>Thắng TK 01</t>
  </si>
  <si>
    <t>Thắng TK 02</t>
  </si>
  <si>
    <t>Thắng TK 03</t>
  </si>
  <si>
    <t>Thắng TK 04</t>
  </si>
  <si>
    <t>Bán kết 01</t>
  </si>
  <si>
    <t>Bán kết 02</t>
  </si>
  <si>
    <t>Ba-Tư (1 trận)</t>
  </si>
  <si>
    <t>Bại BK 01</t>
  </si>
  <si>
    <t>Bại BK 02</t>
  </si>
  <si>
    <t>Chung kết (1 trận)</t>
  </si>
  <si>
    <t>Thắng BK 01</t>
  </si>
  <si>
    <t>Thắng BK 02</t>
  </si>
  <si>
    <r>
      <t xml:space="preserve">Bóng Động lực uhv 2.05 </t>
    </r>
    <r>
      <rPr>
        <sz val="11"/>
        <color rgb="FFFF0000"/>
        <rFont val="Arial Narrow"/>
        <family val="2"/>
      </rPr>
      <t>số 5</t>
    </r>
  </si>
  <si>
    <t>16 Đôi NỮ</t>
  </si>
  <si>
    <t>Đôi Nữ 01</t>
  </si>
  <si>
    <t>Đôi Nữ 02</t>
  </si>
  <si>
    <t>Đôi Nữ 03</t>
  </si>
  <si>
    <t>Đôi Nữ 04</t>
  </si>
  <si>
    <t>Đôi Nữ 05</t>
  </si>
  <si>
    <t>Đôi Nữ 06</t>
  </si>
  <si>
    <t>Đôi Nữ 07</t>
  </si>
  <si>
    <t>Đôi Nữ 08</t>
  </si>
  <si>
    <t>Đôi Nữ 09</t>
  </si>
  <si>
    <t>Đôi Nữ 10</t>
  </si>
  <si>
    <t>Đôi Nữ 11</t>
  </si>
  <si>
    <t>Đôi Nữ 12</t>
  </si>
  <si>
    <t>Đôi Nữ 13</t>
  </si>
  <si>
    <t>Đôi Nữ 14</t>
  </si>
  <si>
    <t>Đôi Nữ 15</t>
  </si>
  <si>
    <t>Đôi Nữ 16</t>
  </si>
  <si>
    <t>P Đôi Nam</t>
  </si>
  <si>
    <t>P Đôi Nữ</t>
  </si>
  <si>
    <t>Vòng 1 (8 trận)</t>
  </si>
  <si>
    <t>Vòng 2 (8 trận)</t>
  </si>
  <si>
    <t>Vòng 3-PO (4 trận)</t>
  </si>
  <si>
    <t>R1: Vòng loại 1</t>
  </si>
  <si>
    <t>R2: Vòng loại 2</t>
  </si>
  <si>
    <t>R3: Vòng loại 3</t>
  </si>
  <si>
    <t>R4: Vòng loại 4</t>
  </si>
  <si>
    <t>MINI GAME _ MINI BREAK ~5p (sau vòng 1)</t>
  </si>
  <si>
    <t>MINI GAME _ MINI BREAK ~5p (sau vòng 2)</t>
  </si>
  <si>
    <t>Bảng A</t>
  </si>
  <si>
    <t>A1</t>
  </si>
  <si>
    <t>Mã đội</t>
  </si>
  <si>
    <t>A2</t>
  </si>
  <si>
    <t>A3</t>
  </si>
  <si>
    <t>Bảng B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</si>
  <si>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</si>
  <si>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</si>
  <si>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</si>
  <si>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</si>
  <si>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</si>
  <si>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</si>
  <si>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</si>
  <si>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</si>
  <si>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</si>
  <si>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Bảng C</t>
  </si>
  <si>
    <t>Bảng D</t>
  </si>
  <si>
    <t>E1</t>
  </si>
  <si>
    <t>E2</t>
  </si>
  <si>
    <t>E3</t>
  </si>
  <si>
    <t>Bảng E</t>
  </si>
  <si>
    <t>F1</t>
  </si>
  <si>
    <t>F2</t>
  </si>
  <si>
    <t>F3</t>
  </si>
  <si>
    <t>G1</t>
  </si>
  <si>
    <t>G2</t>
  </si>
  <si>
    <t>G3</t>
  </si>
  <si>
    <t>H1</t>
  </si>
  <si>
    <t>H2</t>
  </si>
  <si>
    <t>H3</t>
  </si>
  <si>
    <t>Bảng F</t>
  </si>
  <si>
    <t>Bảng G</t>
  </si>
  <si>
    <t>Bảng H</t>
  </si>
  <si>
    <t>24 Đôi NAM_NỮ</t>
  </si>
  <si>
    <t>A1-A2</t>
  </si>
  <si>
    <t>A2-A3</t>
  </si>
  <si>
    <t>A3-A1</t>
  </si>
  <si>
    <t>B1-B2</t>
  </si>
  <si>
    <t>B2-B3</t>
  </si>
  <si>
    <t>B3-B1</t>
  </si>
  <si>
    <t>C1-C2</t>
  </si>
  <si>
    <t>C2-C3</t>
  </si>
  <si>
    <t>C3-C1</t>
  </si>
  <si>
    <t>D1-D2</t>
  </si>
  <si>
    <t>D2-D3</t>
  </si>
  <si>
    <t>D3-D1</t>
  </si>
  <si>
    <t>E1-E2</t>
  </si>
  <si>
    <t>E2-E3</t>
  </si>
  <si>
    <t>E3-E1</t>
  </si>
  <si>
    <t>F1-F2</t>
  </si>
  <si>
    <t>F2-F3</t>
  </si>
  <si>
    <t>F3-F1</t>
  </si>
  <si>
    <t>G1-G2</t>
  </si>
  <si>
    <t>G2-G3</t>
  </si>
  <si>
    <t>G3-G1</t>
  </si>
  <si>
    <t>H1-H2</t>
  </si>
  <si>
    <t>H2-H3</t>
  </si>
  <si>
    <t>H3-H1</t>
  </si>
  <si>
    <t>Nhất A</t>
  </si>
  <si>
    <t>Nhất B</t>
  </si>
  <si>
    <t>Nhất C</t>
  </si>
  <si>
    <t>Nhất D</t>
  </si>
  <si>
    <t>Nhất E</t>
  </si>
  <si>
    <t>Nhất F</t>
  </si>
  <si>
    <t>Nhất G</t>
  </si>
  <si>
    <t>Nhất H</t>
  </si>
  <si>
    <t>P Đôi Nam-Nữ</t>
  </si>
  <si>
    <t>MINI GAME _ MINI BREAK ~5p (sau Tứ kết)</t>
  </si>
  <si>
    <t>P.2Nam_01</t>
  </si>
  <si>
    <t>P.2Nam_02</t>
  </si>
  <si>
    <t>P.2Nam_03</t>
  </si>
  <si>
    <t>P.2Nam_04</t>
  </si>
  <si>
    <t>P.2Nam_05</t>
  </si>
  <si>
    <t>P.2Nam_06</t>
  </si>
  <si>
    <t>P.2Nam_07</t>
  </si>
  <si>
    <t>P.2Nam_08</t>
  </si>
  <si>
    <t>P.2Nam_09</t>
  </si>
  <si>
    <t>P.2Nam_10</t>
  </si>
  <si>
    <t>P.2Nam_11</t>
  </si>
  <si>
    <t>P.2Nam_12</t>
  </si>
  <si>
    <t>P.2Nam_13</t>
  </si>
  <si>
    <t>P.2Nam_14</t>
  </si>
  <si>
    <t>P.2Nam_15</t>
  </si>
  <si>
    <t>P.2Nam_16</t>
  </si>
  <si>
    <t>P.2Nam_17</t>
  </si>
  <si>
    <t>P.2Nam_18</t>
  </si>
  <si>
    <t>P.2Nam_19</t>
  </si>
  <si>
    <t>P.2Nam_20</t>
  </si>
  <si>
    <t>P.2Nam_21</t>
  </si>
  <si>
    <t>P.2Nam_22</t>
  </si>
  <si>
    <t>P.2Nam_23</t>
  </si>
  <si>
    <t>P.2Nam_24</t>
  </si>
  <si>
    <t>P.2Nam_25</t>
  </si>
  <si>
    <t>P.2Nam_26</t>
  </si>
  <si>
    <t>P.2Nam_27</t>
  </si>
  <si>
    <t>P.2Nam_28</t>
  </si>
  <si>
    <t>P.2Nam_29</t>
  </si>
  <si>
    <t>P.2Nam_30</t>
  </si>
  <si>
    <t>P.2Nam_31</t>
  </si>
  <si>
    <t>P.2Nam_32</t>
  </si>
  <si>
    <t>P.2NN_01</t>
  </si>
  <si>
    <t>P.2NN_02</t>
  </si>
  <si>
    <t>P.2NN_03</t>
  </si>
  <si>
    <t>P.2NN_04</t>
  </si>
  <si>
    <t>P.2NN_05</t>
  </si>
  <si>
    <t>P.2NN_06</t>
  </si>
  <si>
    <t>P.2NN_07</t>
  </si>
  <si>
    <t>P.2NN_08</t>
  </si>
  <si>
    <t>P.2NN_09</t>
  </si>
  <si>
    <t>P.2NN_10</t>
  </si>
  <si>
    <t>P.2NN_11</t>
  </si>
  <si>
    <t>P.2NN_12</t>
  </si>
  <si>
    <t>P.2NN_13</t>
  </si>
  <si>
    <t>P.2NN_14</t>
  </si>
  <si>
    <t>P.2NN_15</t>
  </si>
  <si>
    <t>P.2NN_16</t>
  </si>
  <si>
    <t>P.2NN_17</t>
  </si>
  <si>
    <t>P.2NN_18</t>
  </si>
  <si>
    <t>P.2NN_19</t>
  </si>
  <si>
    <t>P.2NN_20</t>
  </si>
  <si>
    <t>P.2NN_21</t>
  </si>
  <si>
    <t>P.2NN_22</t>
  </si>
  <si>
    <t>P.2NN_23</t>
  </si>
  <si>
    <t>P.2NN_24</t>
  </si>
  <si>
    <t>P. 2Nữ_01</t>
  </si>
  <si>
    <t>P. 2Nữ_02</t>
  </si>
  <si>
    <t>P. 2Nữ_03</t>
  </si>
  <si>
    <t>P. 2Nữ_04</t>
  </si>
  <si>
    <t>P. 2Nữ_05</t>
  </si>
  <si>
    <t>P. 2Nữ_06</t>
  </si>
  <si>
    <t>P. 2Nữ_07</t>
  </si>
  <si>
    <t>P. 2Nữ_08</t>
  </si>
  <si>
    <t>P. 2Nữ_09</t>
  </si>
  <si>
    <t>P. 2Nữ_10</t>
  </si>
  <si>
    <t>P. 2Nữ_11</t>
  </si>
  <si>
    <t>P. 2Nữ_12</t>
  </si>
  <si>
    <t>P. 2Nữ_13</t>
  </si>
  <si>
    <t>P. 2Nữ_14</t>
  </si>
  <si>
    <t>P. 2Nữ_15</t>
  </si>
  <si>
    <t>P. 2Nữ_16</t>
  </si>
  <si>
    <t>Tên/Mã đội</t>
  </si>
  <si>
    <t>Nguyễn Đức Trung</t>
  </si>
  <si>
    <t>Đặng Hoàng Dũng</t>
  </si>
  <si>
    <t>Lê Đình Tuấn</t>
  </si>
  <si>
    <t>Đoàn Tuấn Vũ</t>
  </si>
  <si>
    <t>Bóng đá Nam</t>
  </si>
  <si>
    <t>FC Tập đoàn Mường Thanh 1</t>
  </si>
  <si>
    <t>FC Tập đoàn Mường Thanh 2</t>
  </si>
  <si>
    <t>Lê Sơn Tùng</t>
  </si>
  <si>
    <t>Nguyễn Gia Khoa</t>
  </si>
  <si>
    <t>Nguyễn Anh Minh</t>
  </si>
  <si>
    <t>Đinh Duy Long</t>
  </si>
  <si>
    <t>BIDV Nam Hà Nội 9</t>
  </si>
  <si>
    <t>Bùi Danh Nam</t>
  </si>
  <si>
    <t>Vũ Minh Dũng</t>
  </si>
  <si>
    <t>Nguyễn Thu Hà</t>
  </si>
  <si>
    <t>Trương Thị Trang</t>
  </si>
  <si>
    <t>Nguyễn Phương Thảo</t>
  </si>
  <si>
    <t>FC MT 1</t>
  </si>
  <si>
    <t>FC MT 2</t>
  </si>
  <si>
    <t xml:space="preserve">Nhà thi đấu </t>
  </si>
  <si>
    <t>Sân 3</t>
  </si>
  <si>
    <t>Sân 4</t>
  </si>
  <si>
    <t>Sân 5</t>
  </si>
  <si>
    <t>Sân 6</t>
  </si>
  <si>
    <t>Sân 7</t>
  </si>
  <si>
    <t>CN DVNO Thanh Hà</t>
  </si>
  <si>
    <t>Lê Văn Đức</t>
  </si>
  <si>
    <t>Nguyễn Công Toàn</t>
  </si>
  <si>
    <t>Văn phòng Tập đoàn</t>
  </si>
  <si>
    <t>Nguyễn Văn Linh</t>
  </si>
  <si>
    <t>Phạm Ngọc Hanh</t>
  </si>
  <si>
    <t>Cienco5 Land</t>
  </si>
  <si>
    <t>Lê Kim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</si>
</sst>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0"/>
      <name val="Arial Narrow"/>
      <family val="2"/>
    </font>
    <font>
      <u/>
      <sz val="10"/>
      <name val="Arial Narrow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 Narrow"/>
      <family val="2"/>
    </font>
    <font>
      <u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sz val="11"/>
      <color rgb="FF000000"/>
      <name val="Arial Narrow"/>
      <family val="2"/>
    </font>
    <font>
      <sz val="11"/>
      <color rgb="FF081B3A"/>
      <name val="Segoe UI"/>
      <family val="2"/>
    </font>
    <font>
      <sz val="11"/>
      <name val="Arial Narrow"/>
      <family val="2"/>
    </font>
    <font>
      <sz val="11"/>
      <color theme="0"/>
      <name val="Arial Narrow"/>
      <family val="2"/>
    </font>
    <font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9">
    <xf numFmtId="0" fontId="0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15" fillId="0" borderId="0" applyNumberFormat="0" applyFill="0" applyBorder="0" applyAlignment="0" applyProtection="0"/>
    <xf numFmtId="0" fontId="16" fillId="0" borderId="0"/>
    <xf numFmtId="0" fontId="2" fillId="0" borderId="0"/>
    <xf numFmtId="0" fontId="1" fillId="0" borderId="0"/>
  </cellStyleXfs>
  <cellXfs count="385">
    <xf numFmtId="0" fontId="0" fillId="0" borderId="0" xfId="0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20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10" fillId="0" borderId="0" xfId="4" applyFont="1" applyAlignment="1">
      <alignment horizontal="left" vertical="center" wrapText="1"/>
    </xf>
    <xf numFmtId="0" fontId="11" fillId="0" borderId="0" xfId="4" applyFont="1" applyAlignment="1">
      <alignment vertical="center" wrapText="1"/>
    </xf>
    <xf numFmtId="0" fontId="11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8" fillId="0" borderId="0" xfId="4" applyFont="1" applyFill="1" applyAlignment="1">
      <alignment vertical="center" wrapText="1"/>
    </xf>
    <xf numFmtId="0" fontId="8" fillId="3" borderId="0" xfId="4" applyFont="1" applyFill="1" applyAlignment="1">
      <alignment vertical="center"/>
    </xf>
    <xf numFmtId="0" fontId="13" fillId="3" borderId="0" xfId="4" applyFont="1" applyFill="1" applyAlignment="1">
      <alignment vertical="center"/>
    </xf>
    <xf numFmtId="0" fontId="13" fillId="0" borderId="0" xfId="4" applyFont="1" applyFill="1" applyAlignment="1">
      <alignment vertical="center"/>
    </xf>
    <xf numFmtId="0" fontId="8" fillId="0" borderId="0" xfId="4" applyFont="1" applyFill="1" applyAlignment="1">
      <alignment horizontal="center" vertical="center"/>
    </xf>
    <xf numFmtId="0" fontId="8" fillId="0" borderId="0" xfId="4" applyFont="1" applyFill="1" applyAlignment="1">
      <alignment vertical="center"/>
    </xf>
    <xf numFmtId="0" fontId="10" fillId="0" borderId="0" xfId="4" applyFont="1" applyAlignment="1">
      <alignment horizontal="center" vertical="center" wrapText="1"/>
    </xf>
    <xf numFmtId="0" fontId="12" fillId="0" borderId="0" xfId="4" applyFont="1" applyBorder="1" applyAlignment="1">
      <alignment horizontal="center" vertical="center"/>
    </xf>
    <xf numFmtId="0" fontId="13" fillId="3" borderId="24" xfId="4" applyFont="1" applyFill="1" applyBorder="1" applyAlignment="1">
      <alignment horizontal="center" vertical="center" wrapText="1"/>
    </xf>
    <xf numFmtId="0" fontId="13" fillId="3" borderId="5" xfId="4" applyFont="1" applyFill="1" applyBorder="1" applyAlignment="1">
      <alignment horizontal="center" vertical="center" wrapText="1"/>
    </xf>
    <xf numFmtId="0" fontId="13" fillId="3" borderId="6" xfId="4" applyFont="1" applyFill="1" applyBorder="1" applyAlignment="1">
      <alignment horizontal="center" vertical="center"/>
    </xf>
    <xf numFmtId="0" fontId="13" fillId="3" borderId="7" xfId="4" applyFont="1" applyFill="1" applyBorder="1" applyAlignment="1">
      <alignment horizontal="center" vertical="center"/>
    </xf>
    <xf numFmtId="0" fontId="13" fillId="3" borderId="7" xfId="4" applyFont="1" applyFill="1" applyBorder="1" applyAlignment="1">
      <alignment horizontal="left" vertical="center"/>
    </xf>
    <xf numFmtId="0" fontId="13" fillId="3" borderId="7" xfId="4" applyFont="1" applyFill="1" applyBorder="1" applyAlignment="1">
      <alignment vertical="center"/>
    </xf>
    <xf numFmtId="0" fontId="8" fillId="3" borderId="7" xfId="4" applyFont="1" applyFill="1" applyBorder="1" applyAlignment="1">
      <alignment vertical="center" wrapText="1"/>
    </xf>
    <xf numFmtId="0" fontId="8" fillId="3" borderId="7" xfId="4" applyFont="1" applyFill="1" applyBorder="1" applyAlignment="1">
      <alignment horizontal="center" vertical="center"/>
    </xf>
    <xf numFmtId="0" fontId="8" fillId="3" borderId="8" xfId="4" applyFont="1" applyFill="1" applyBorder="1" applyAlignment="1">
      <alignment vertical="center"/>
    </xf>
    <xf numFmtId="0" fontId="8" fillId="3" borderId="7" xfId="4" applyFont="1" applyFill="1" applyBorder="1" applyAlignment="1">
      <alignment horizontal="left" vertical="center"/>
    </xf>
    <xf numFmtId="0" fontId="8" fillId="3" borderId="7" xfId="4" applyFont="1" applyFill="1" applyBorder="1" applyAlignment="1">
      <alignment vertical="center"/>
    </xf>
    <xf numFmtId="0" fontId="13" fillId="3" borderId="6" xfId="4" applyFont="1" applyFill="1" applyBorder="1" applyAlignment="1">
      <alignment vertical="center"/>
    </xf>
    <xf numFmtId="0" fontId="14" fillId="3" borderId="8" xfId="4" applyFont="1" applyFill="1" applyBorder="1" applyAlignment="1">
      <alignment vertical="center"/>
    </xf>
    <xf numFmtId="0" fontId="8" fillId="3" borderId="6" xfId="4" applyFont="1" applyFill="1" applyBorder="1" applyAlignment="1">
      <alignment horizontal="center" vertical="center"/>
    </xf>
    <xf numFmtId="0" fontId="8" fillId="3" borderId="7" xfId="4" applyFont="1" applyFill="1" applyBorder="1" applyAlignment="1">
      <alignment horizontal="center" vertical="center" wrapText="1"/>
    </xf>
    <xf numFmtId="0" fontId="14" fillId="3" borderId="8" xfId="4" applyFont="1" applyFill="1" applyBorder="1" applyAlignment="1">
      <alignment vertical="center" wrapText="1"/>
    </xf>
    <xf numFmtId="0" fontId="8" fillId="3" borderId="7" xfId="4" quotePrefix="1" applyFont="1" applyFill="1" applyBorder="1" applyAlignment="1">
      <alignment horizontal="center" vertical="center"/>
    </xf>
    <xf numFmtId="14" fontId="8" fillId="3" borderId="7" xfId="4" applyNumberFormat="1" applyFont="1" applyFill="1" applyBorder="1" applyAlignment="1">
      <alignment horizontal="center" vertical="center" wrapText="1"/>
    </xf>
    <xf numFmtId="0" fontId="14" fillId="3" borderId="8" xfId="5" applyFont="1" applyFill="1" applyBorder="1" applyAlignment="1">
      <alignment vertical="center" wrapText="1"/>
    </xf>
    <xf numFmtId="0" fontId="11" fillId="3" borderId="7" xfId="4" applyFont="1" applyFill="1" applyBorder="1" applyAlignment="1">
      <alignment vertical="center" wrapText="1"/>
    </xf>
    <xf numFmtId="0" fontId="11" fillId="3" borderId="7" xfId="4" applyFont="1" applyFill="1" applyBorder="1" applyAlignment="1">
      <alignment horizontal="center" vertical="center" wrapText="1"/>
    </xf>
    <xf numFmtId="0" fontId="8" fillId="3" borderId="8" xfId="6" quotePrefix="1" applyFont="1" applyFill="1" applyBorder="1" applyAlignment="1">
      <alignment horizontal="center" vertical="center"/>
    </xf>
    <xf numFmtId="0" fontId="11" fillId="3" borderId="7" xfId="4" applyFont="1" applyFill="1" applyBorder="1" applyAlignment="1">
      <alignment vertical="center"/>
    </xf>
    <xf numFmtId="0" fontId="17" fillId="3" borderId="7" xfId="5" applyFont="1" applyFill="1" applyBorder="1" applyAlignment="1">
      <alignment horizontal="center" vertical="center"/>
    </xf>
    <xf numFmtId="0" fontId="13" fillId="3" borderId="9" xfId="4" applyFont="1" applyFill="1" applyBorder="1" applyAlignment="1">
      <alignment horizontal="center" vertical="center"/>
    </xf>
    <xf numFmtId="0" fontId="8" fillId="3" borderId="10" xfId="4" applyFont="1" applyFill="1" applyBorder="1" applyAlignment="1">
      <alignment horizontal="center" vertical="center"/>
    </xf>
    <xf numFmtId="0" fontId="8" fillId="3" borderId="10" xfId="4" applyFont="1" applyFill="1" applyBorder="1" applyAlignment="1">
      <alignment horizontal="left" vertical="center"/>
    </xf>
    <xf numFmtId="0" fontId="8" fillId="3" borderId="10" xfId="4" applyFont="1" applyFill="1" applyBorder="1" applyAlignment="1">
      <alignment vertical="center"/>
    </xf>
    <xf numFmtId="0" fontId="11" fillId="3" borderId="10" xfId="4" applyFont="1" applyFill="1" applyBorder="1" applyAlignment="1">
      <alignment vertical="center" wrapText="1"/>
    </xf>
    <xf numFmtId="0" fontId="17" fillId="3" borderId="10" xfId="5" applyFont="1" applyFill="1" applyBorder="1" applyAlignment="1">
      <alignment horizontal="center" vertical="center"/>
    </xf>
    <xf numFmtId="0" fontId="8" fillId="3" borderId="11" xfId="6" quotePrefix="1" applyFont="1" applyFill="1" applyBorder="1" applyAlignment="1">
      <alignment horizontal="center" vertical="center"/>
    </xf>
    <xf numFmtId="0" fontId="13" fillId="3" borderId="20" xfId="4" applyFont="1" applyFill="1" applyBorder="1" applyAlignment="1">
      <alignment horizontal="center" vertical="center"/>
    </xf>
    <xf numFmtId="0" fontId="8" fillId="3" borderId="21" xfId="4" applyFont="1" applyFill="1" applyBorder="1" applyAlignment="1">
      <alignment horizontal="center" vertical="center"/>
    </xf>
    <xf numFmtId="0" fontId="8" fillId="3" borderId="21" xfId="4" applyFont="1" applyFill="1" applyBorder="1" applyAlignment="1">
      <alignment vertical="center" wrapText="1"/>
    </xf>
    <xf numFmtId="0" fontId="13" fillId="3" borderId="23" xfId="4" applyFont="1" applyFill="1" applyBorder="1" applyAlignment="1">
      <alignment horizontal="center" vertical="center"/>
    </xf>
    <xf numFmtId="0" fontId="13" fillId="3" borderId="24" xfId="4" applyFont="1" applyFill="1" applyBorder="1" applyAlignment="1">
      <alignment horizontal="center" vertical="center"/>
    </xf>
    <xf numFmtId="0" fontId="13" fillId="3" borderId="24" xfId="4" applyFont="1" applyFill="1" applyBorder="1" applyAlignment="1">
      <alignment horizontal="left" vertical="center"/>
    </xf>
    <xf numFmtId="0" fontId="13" fillId="3" borderId="24" xfId="4" applyFont="1" applyFill="1" applyBorder="1" applyAlignment="1">
      <alignment vertical="center"/>
    </xf>
    <xf numFmtId="0" fontId="10" fillId="3" borderId="24" xfId="4" applyFont="1" applyFill="1" applyBorder="1" applyAlignment="1">
      <alignment vertical="center"/>
    </xf>
    <xf numFmtId="0" fontId="10" fillId="3" borderId="24" xfId="4" applyFont="1" applyFill="1" applyBorder="1" applyAlignment="1">
      <alignment vertical="center" wrapText="1"/>
    </xf>
    <xf numFmtId="0" fontId="8" fillId="3" borderId="24" xfId="4" applyFont="1" applyFill="1" applyBorder="1" applyAlignment="1">
      <alignment horizontal="center" vertical="center" wrapText="1"/>
    </xf>
    <xf numFmtId="0" fontId="13" fillId="3" borderId="5" xfId="6" quotePrefix="1" applyFont="1" applyFill="1" applyBorder="1" applyAlignment="1">
      <alignment horizontal="center" vertical="center"/>
    </xf>
    <xf numFmtId="0" fontId="8" fillId="3" borderId="21" xfId="4" applyFont="1" applyFill="1" applyBorder="1" applyAlignment="1">
      <alignment horizontal="left" vertical="center"/>
    </xf>
    <xf numFmtId="0" fontId="8" fillId="3" borderId="21" xfId="4" applyFont="1" applyFill="1" applyBorder="1" applyAlignment="1">
      <alignment vertical="center"/>
    </xf>
    <xf numFmtId="0" fontId="8" fillId="3" borderId="10" xfId="4" applyFont="1" applyFill="1" applyBorder="1" applyAlignment="1">
      <alignment vertical="center" wrapText="1"/>
    </xf>
    <xf numFmtId="0" fontId="8" fillId="3" borderId="10" xfId="4" applyFont="1" applyFill="1" applyBorder="1" applyAlignment="1">
      <alignment horizontal="center" vertical="center" wrapText="1"/>
    </xf>
    <xf numFmtId="0" fontId="8" fillId="3" borderId="22" xfId="4" applyFont="1" applyFill="1" applyBorder="1" applyAlignment="1">
      <alignment vertical="center"/>
    </xf>
    <xf numFmtId="0" fontId="8" fillId="3" borderId="24" xfId="4" applyFont="1" applyFill="1" applyBorder="1" applyAlignment="1">
      <alignment vertical="center"/>
    </xf>
    <xf numFmtId="0" fontId="8" fillId="3" borderId="24" xfId="4" applyFont="1" applyFill="1" applyBorder="1" applyAlignment="1">
      <alignment vertical="center" wrapText="1"/>
    </xf>
    <xf numFmtId="0" fontId="14" fillId="3" borderId="5" xfId="5" applyFont="1" applyFill="1" applyBorder="1" applyAlignment="1">
      <alignment vertical="center" wrapText="1"/>
    </xf>
    <xf numFmtId="0" fontId="14" fillId="3" borderId="11" xfId="5" applyFont="1" applyFill="1" applyBorder="1" applyAlignment="1">
      <alignment vertical="center" wrapText="1"/>
    </xf>
    <xf numFmtId="0" fontId="13" fillId="3" borderId="24" xfId="4" quotePrefix="1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vertical="center"/>
    </xf>
    <xf numFmtId="0" fontId="8" fillId="3" borderId="10" xfId="4" quotePrefix="1" applyFont="1" applyFill="1" applyBorder="1" applyAlignment="1">
      <alignment horizontal="center" vertical="center"/>
    </xf>
    <xf numFmtId="0" fontId="8" fillId="3" borderId="11" xfId="4" applyFont="1" applyFill="1" applyBorder="1" applyAlignment="1">
      <alignment vertical="center"/>
    </xf>
    <xf numFmtId="0" fontId="13" fillId="3" borderId="9" xfId="4" applyFont="1" applyFill="1" applyBorder="1" applyAlignment="1">
      <alignment vertical="center"/>
    </xf>
    <xf numFmtId="0" fontId="14" fillId="3" borderId="11" xfId="4" applyFont="1" applyFill="1" applyBorder="1" applyAlignment="1">
      <alignment vertical="center" wrapText="1"/>
    </xf>
    <xf numFmtId="0" fontId="8" fillId="3" borderId="7" xfId="6" quotePrefix="1" applyFont="1" applyFill="1" applyBorder="1" applyAlignment="1">
      <alignment horizontal="center" vertical="center"/>
    </xf>
    <xf numFmtId="0" fontId="8" fillId="3" borderId="7" xfId="6" quotePrefix="1" applyFont="1" applyFill="1" applyBorder="1" applyAlignment="1">
      <alignment horizontal="center" vertical="center" wrapText="1"/>
    </xf>
    <xf numFmtId="0" fontId="8" fillId="3" borderId="24" xfId="4" applyFont="1" applyFill="1" applyBorder="1" applyAlignment="1">
      <alignment horizontal="center" vertical="center"/>
    </xf>
    <xf numFmtId="0" fontId="8" fillId="3" borderId="24" xfId="6" quotePrefix="1" applyFont="1" applyFill="1" applyBorder="1" applyAlignment="1">
      <alignment horizontal="center" vertical="center"/>
    </xf>
    <xf numFmtId="0" fontId="8" fillId="3" borderId="5" xfId="4" applyFont="1" applyFill="1" applyBorder="1" applyAlignment="1">
      <alignment vertical="center"/>
    </xf>
    <xf numFmtId="0" fontId="13" fillId="3" borderId="12" xfId="4" applyFont="1" applyFill="1" applyBorder="1" applyAlignment="1">
      <alignment horizontal="center" vertical="center"/>
    </xf>
    <xf numFmtId="0" fontId="13" fillId="3" borderId="13" xfId="4" applyFont="1" applyFill="1" applyBorder="1" applyAlignment="1">
      <alignment horizontal="center" vertical="center"/>
    </xf>
    <xf numFmtId="0" fontId="13" fillId="3" borderId="13" xfId="4" applyFont="1" applyFill="1" applyBorder="1" applyAlignment="1">
      <alignment horizontal="left" vertical="center"/>
    </xf>
    <xf numFmtId="0" fontId="13" fillId="3" borderId="13" xfId="4" applyFont="1" applyFill="1" applyBorder="1" applyAlignment="1">
      <alignment vertical="center"/>
    </xf>
    <xf numFmtId="0" fontId="13" fillId="3" borderId="13" xfId="4" quotePrefix="1" applyFont="1" applyFill="1" applyBorder="1" applyAlignment="1">
      <alignment horizontal="center" vertical="center"/>
    </xf>
    <xf numFmtId="0" fontId="14" fillId="3" borderId="14" xfId="4" applyFont="1" applyFill="1" applyBorder="1" applyAlignment="1">
      <alignment vertical="center"/>
    </xf>
    <xf numFmtId="0" fontId="13" fillId="3" borderId="25" xfId="4" applyFont="1" applyFill="1" applyBorder="1" applyAlignment="1">
      <alignment horizontal="center" vertical="center"/>
    </xf>
    <xf numFmtId="0" fontId="8" fillId="3" borderId="26" xfId="4" applyFont="1" applyFill="1" applyBorder="1" applyAlignment="1">
      <alignment horizontal="center" vertical="center"/>
    </xf>
    <xf numFmtId="0" fontId="8" fillId="3" borderId="26" xfId="4" applyFont="1" applyFill="1" applyBorder="1" applyAlignment="1">
      <alignment horizontal="left" vertical="center"/>
    </xf>
    <xf numFmtId="0" fontId="8" fillId="3" borderId="26" xfId="4" applyFont="1" applyFill="1" applyBorder="1" applyAlignment="1">
      <alignment vertical="center"/>
    </xf>
    <xf numFmtId="0" fontId="8" fillId="3" borderId="26" xfId="4" applyFont="1" applyFill="1" applyBorder="1" applyAlignment="1">
      <alignment vertical="center" wrapText="1"/>
    </xf>
    <xf numFmtId="0" fontId="8" fillId="3" borderId="27" xfId="4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20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20" fontId="7" fillId="4" borderId="7" xfId="0" applyNumberFormat="1" applyFont="1" applyFill="1" applyBorder="1" applyAlignment="1">
      <alignment horizontal="center" vertical="center"/>
    </xf>
    <xf numFmtId="20" fontId="7" fillId="5" borderId="7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12" fillId="0" borderId="0" xfId="4" applyFont="1" applyBorder="1" applyAlignment="1">
      <alignment horizontal="center" vertical="center"/>
    </xf>
    <xf numFmtId="0" fontId="10" fillId="0" borderId="0" xfId="8" applyFont="1" applyAlignment="1">
      <alignment horizontal="left" vertical="center" wrapText="1"/>
    </xf>
    <xf numFmtId="0" fontId="11" fillId="0" borderId="0" xfId="8" applyFont="1" applyAlignment="1">
      <alignment vertical="center" wrapText="1"/>
    </xf>
    <xf numFmtId="0" fontId="11" fillId="0" borderId="0" xfId="8" applyFont="1" applyAlignment="1">
      <alignment vertical="center"/>
    </xf>
    <xf numFmtId="0" fontId="10" fillId="0" borderId="0" xfId="8" applyFont="1" applyAlignment="1">
      <alignment vertical="center"/>
    </xf>
    <xf numFmtId="0" fontId="12" fillId="0" borderId="0" xfId="8" applyFont="1" applyBorder="1" applyAlignment="1">
      <alignment horizontal="center" vertical="center"/>
    </xf>
    <xf numFmtId="0" fontId="13" fillId="0" borderId="15" xfId="8" applyFont="1" applyFill="1" applyBorder="1" applyAlignment="1">
      <alignment horizontal="center" vertical="center" wrapText="1"/>
    </xf>
    <xf numFmtId="0" fontId="13" fillId="0" borderId="16" xfId="8" applyFont="1" applyFill="1" applyBorder="1" applyAlignment="1">
      <alignment horizontal="center" vertical="center" wrapText="1"/>
    </xf>
    <xf numFmtId="0" fontId="13" fillId="3" borderId="16" xfId="8" applyFont="1" applyFill="1" applyBorder="1" applyAlignment="1">
      <alignment horizontal="center" vertical="center" wrapText="1"/>
    </xf>
    <xf numFmtId="0" fontId="13" fillId="3" borderId="17" xfId="8" applyFont="1" applyFill="1" applyBorder="1" applyAlignment="1">
      <alignment horizontal="center" vertical="center" wrapText="1"/>
    </xf>
    <xf numFmtId="0" fontId="8" fillId="0" borderId="0" xfId="8" applyFont="1" applyFill="1" applyAlignment="1">
      <alignment vertical="center" wrapText="1"/>
    </xf>
    <xf numFmtId="0" fontId="13" fillId="3" borderId="23" xfId="8" applyFont="1" applyFill="1" applyBorder="1" applyAlignment="1">
      <alignment horizontal="center" vertical="center"/>
    </xf>
    <xf numFmtId="0" fontId="8" fillId="3" borderId="24" xfId="8" applyFont="1" applyFill="1" applyBorder="1" applyAlignment="1">
      <alignment horizontal="center" vertical="center"/>
    </xf>
    <xf numFmtId="0" fontId="8" fillId="3" borderId="24" xfId="8" applyFont="1" applyFill="1" applyBorder="1" applyAlignment="1">
      <alignment horizontal="left" vertical="center"/>
    </xf>
    <xf numFmtId="0" fontId="8" fillId="3" borderId="24" xfId="8" applyFont="1" applyFill="1" applyBorder="1" applyAlignment="1">
      <alignment vertical="center"/>
    </xf>
    <xf numFmtId="0" fontId="8" fillId="3" borderId="24" xfId="8" applyFont="1" applyFill="1" applyBorder="1" applyAlignment="1">
      <alignment vertical="center" wrapText="1"/>
    </xf>
    <xf numFmtId="0" fontId="8" fillId="3" borderId="5" xfId="8" applyFont="1" applyFill="1" applyBorder="1" applyAlignment="1">
      <alignment vertical="center"/>
    </xf>
    <xf numFmtId="0" fontId="8" fillId="3" borderId="0" xfId="8" applyFont="1" applyFill="1" applyAlignment="1">
      <alignment vertical="center"/>
    </xf>
    <xf numFmtId="0" fontId="13" fillId="3" borderId="6" xfId="8" applyFont="1" applyFill="1" applyBorder="1" applyAlignment="1">
      <alignment horizontal="center" vertical="center"/>
    </xf>
    <xf numFmtId="0" fontId="8" fillId="3" borderId="7" xfId="8" applyFont="1" applyFill="1" applyBorder="1" applyAlignment="1">
      <alignment horizontal="center" vertical="center"/>
    </xf>
    <xf numFmtId="0" fontId="8" fillId="3" borderId="7" xfId="8" applyFont="1" applyFill="1" applyBorder="1" applyAlignment="1">
      <alignment horizontal="left" vertical="center"/>
    </xf>
    <xf numFmtId="0" fontId="8" fillId="3" borderId="7" xfId="8" applyFont="1" applyFill="1" applyBorder="1" applyAlignment="1">
      <alignment vertical="center"/>
    </xf>
    <xf numFmtId="0" fontId="8" fillId="3" borderId="7" xfId="8" quotePrefix="1" applyFont="1" applyFill="1" applyBorder="1" applyAlignment="1">
      <alignment horizontal="center" vertical="center"/>
    </xf>
    <xf numFmtId="0" fontId="8" fillId="3" borderId="8" xfId="8" applyFont="1" applyFill="1" applyBorder="1" applyAlignment="1">
      <alignment vertical="center"/>
    </xf>
    <xf numFmtId="0" fontId="8" fillId="3" borderId="7" xfId="8" applyFont="1" applyFill="1" applyBorder="1" applyAlignment="1">
      <alignment vertical="center" wrapText="1"/>
    </xf>
    <xf numFmtId="0" fontId="8" fillId="3" borderId="8" xfId="8" applyFont="1" applyFill="1" applyBorder="1" applyAlignment="1">
      <alignment vertical="center" wrapText="1"/>
    </xf>
    <xf numFmtId="0" fontId="13" fillId="3" borderId="9" xfId="8" applyFont="1" applyFill="1" applyBorder="1" applyAlignment="1">
      <alignment horizontal="center" vertical="center"/>
    </xf>
    <xf numFmtId="0" fontId="8" fillId="3" borderId="10" xfId="8" applyFont="1" applyFill="1" applyBorder="1" applyAlignment="1">
      <alignment horizontal="center" vertical="center"/>
    </xf>
    <xf numFmtId="0" fontId="8" fillId="3" borderId="10" xfId="8" applyFont="1" applyFill="1" applyBorder="1" applyAlignment="1">
      <alignment horizontal="left" vertical="center"/>
    </xf>
    <xf numFmtId="0" fontId="8" fillId="3" borderId="10" xfId="8" applyFont="1" applyFill="1" applyBorder="1" applyAlignment="1">
      <alignment vertical="center" wrapText="1"/>
    </xf>
    <xf numFmtId="0" fontId="8" fillId="3" borderId="11" xfId="8" applyFont="1" applyFill="1" applyBorder="1" applyAlignment="1">
      <alignment vertical="center" wrapText="1"/>
    </xf>
    <xf numFmtId="0" fontId="8" fillId="3" borderId="24" xfId="8" quotePrefix="1" applyFont="1" applyFill="1" applyBorder="1" applyAlignment="1">
      <alignment horizontal="center" vertical="center"/>
    </xf>
    <xf numFmtId="0" fontId="13" fillId="3" borderId="12" xfId="8" applyFont="1" applyFill="1" applyBorder="1" applyAlignment="1">
      <alignment horizontal="center" vertical="center"/>
    </xf>
    <xf numFmtId="0" fontId="8" fillId="3" borderId="13" xfId="8" applyFont="1" applyFill="1" applyBorder="1" applyAlignment="1">
      <alignment horizontal="center" vertical="center"/>
    </xf>
    <xf numFmtId="0" fontId="8" fillId="3" borderId="13" xfId="8" applyFont="1" applyFill="1" applyBorder="1" applyAlignment="1">
      <alignment horizontal="left" vertical="center"/>
    </xf>
    <xf numFmtId="0" fontId="8" fillId="3" borderId="13" xfId="8" applyFont="1" applyFill="1" applyBorder="1" applyAlignment="1">
      <alignment vertical="center"/>
    </xf>
    <xf numFmtId="0" fontId="8" fillId="3" borderId="13" xfId="8" applyFont="1" applyFill="1" applyBorder="1" applyAlignment="1">
      <alignment vertical="center" wrapText="1"/>
    </xf>
    <xf numFmtId="0" fontId="13" fillId="0" borderId="0" xfId="8" applyFont="1" applyFill="1" applyAlignment="1">
      <alignment vertical="center"/>
    </xf>
    <xf numFmtId="0" fontId="8" fillId="0" borderId="0" xfId="8" applyFont="1" applyFill="1" applyAlignment="1">
      <alignment horizontal="center" vertical="center"/>
    </xf>
    <xf numFmtId="0" fontId="8" fillId="0" borderId="0" xfId="8" applyFont="1" applyFill="1" applyAlignment="1">
      <alignment vertical="center"/>
    </xf>
    <xf numFmtId="0" fontId="8" fillId="0" borderId="0" xfId="8" quotePrefix="1" applyFont="1" applyFill="1" applyAlignment="1">
      <alignment vertical="center"/>
    </xf>
    <xf numFmtId="0" fontId="13" fillId="3" borderId="20" xfId="8" applyFont="1" applyFill="1" applyBorder="1" applyAlignment="1">
      <alignment horizontal="center" vertical="center"/>
    </xf>
    <xf numFmtId="0" fontId="8" fillId="3" borderId="21" xfId="8" applyFont="1" applyFill="1" applyBorder="1" applyAlignment="1">
      <alignment horizontal="left" vertical="center"/>
    </xf>
    <xf numFmtId="0" fontId="8" fillId="3" borderId="21" xfId="8" applyFont="1" applyFill="1" applyBorder="1" applyAlignment="1">
      <alignment vertical="center" wrapText="1"/>
    </xf>
    <xf numFmtId="0" fontId="8" fillId="3" borderId="22" xfId="8" applyFont="1" applyFill="1" applyBorder="1" applyAlignment="1">
      <alignment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8" fillId="3" borderId="21" xfId="8" applyFont="1" applyFill="1" applyBorder="1" applyAlignment="1">
      <alignment vertical="center"/>
    </xf>
    <xf numFmtId="0" fontId="8" fillId="3" borderId="21" xfId="8" quotePrefix="1" applyFont="1" applyFill="1" applyBorder="1" applyAlignment="1">
      <alignment horizontal="center" vertical="center"/>
    </xf>
    <xf numFmtId="0" fontId="8" fillId="3" borderId="22" xfId="8" applyFont="1" applyFill="1" applyBorder="1" applyAlignment="1">
      <alignment vertical="center"/>
    </xf>
    <xf numFmtId="0" fontId="11" fillId="0" borderId="0" xfId="4" applyFont="1" applyBorder="1" applyAlignment="1">
      <alignment vertical="center"/>
    </xf>
    <xf numFmtId="0" fontId="8" fillId="0" borderId="0" xfId="4" applyFont="1" applyFill="1" applyBorder="1" applyAlignment="1">
      <alignment vertical="center" wrapText="1"/>
    </xf>
    <xf numFmtId="0" fontId="8" fillId="3" borderId="0" xfId="4" applyFont="1" applyFill="1" applyBorder="1" applyAlignment="1">
      <alignment vertical="center"/>
    </xf>
    <xf numFmtId="0" fontId="13" fillId="3" borderId="0" xfId="4" applyFont="1" applyFill="1" applyBorder="1" applyAlignment="1">
      <alignment vertical="center"/>
    </xf>
    <xf numFmtId="0" fontId="8" fillId="0" borderId="0" xfId="4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" fillId="3" borderId="21" xfId="4" applyFont="1" applyFill="1" applyBorder="1" applyAlignment="1">
      <alignment vertical="center" wrapText="1"/>
    </xf>
    <xf numFmtId="0" fontId="17" fillId="3" borderId="21" xfId="5" applyFont="1" applyFill="1" applyBorder="1" applyAlignment="1">
      <alignment horizontal="center" vertical="center"/>
    </xf>
    <xf numFmtId="0" fontId="8" fillId="3" borderId="22" xfId="6" quotePrefix="1" applyFont="1" applyFill="1" applyBorder="1" applyAlignment="1">
      <alignment horizontal="center" vertical="center"/>
    </xf>
    <xf numFmtId="0" fontId="22" fillId="0" borderId="0" xfId="0" applyFont="1"/>
    <xf numFmtId="0" fontId="7" fillId="0" borderId="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50" xfId="0" applyFont="1" applyFill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4" borderId="50" xfId="0" applyFont="1" applyFill="1" applyBorder="1" applyAlignment="1">
      <alignment vertical="center"/>
    </xf>
    <xf numFmtId="0" fontId="7" fillId="4" borderId="51" xfId="0" applyFont="1" applyFill="1" applyBorder="1" applyAlignment="1">
      <alignment vertical="center"/>
    </xf>
    <xf numFmtId="0" fontId="7" fillId="4" borderId="41" xfId="0" applyFont="1" applyFill="1" applyBorder="1" applyAlignment="1">
      <alignment vertical="center"/>
    </xf>
    <xf numFmtId="0" fontId="7" fillId="4" borderId="38" xfId="0" applyFont="1" applyFill="1" applyBorder="1" applyAlignment="1">
      <alignment vertical="center"/>
    </xf>
    <xf numFmtId="0" fontId="7" fillId="4" borderId="56" xfId="0" applyFont="1" applyFill="1" applyBorder="1" applyAlignment="1">
      <alignment horizontal="center" vertical="center"/>
    </xf>
    <xf numFmtId="0" fontId="23" fillId="4" borderId="55" xfId="0" applyFont="1" applyFill="1" applyBorder="1" applyAlignment="1">
      <alignment vertical="center"/>
    </xf>
    <xf numFmtId="0" fontId="7" fillId="4" borderId="55" xfId="0" applyFont="1" applyFill="1" applyBorder="1" applyAlignment="1">
      <alignment vertical="center"/>
    </xf>
    <xf numFmtId="0" fontId="7" fillId="4" borderId="57" xfId="0" applyFont="1" applyFill="1" applyBorder="1" applyAlignment="1">
      <alignment vertical="center"/>
    </xf>
    <xf numFmtId="0" fontId="23" fillId="4" borderId="59" xfId="0" applyFont="1" applyFill="1" applyBorder="1" applyAlignment="1">
      <alignment vertical="center"/>
    </xf>
    <xf numFmtId="0" fontId="7" fillId="4" borderId="58" xfId="0" applyFont="1" applyFill="1" applyBorder="1" applyAlignment="1">
      <alignment horizontal="center" vertical="center"/>
    </xf>
    <xf numFmtId="0" fontId="23" fillId="0" borderId="55" xfId="0" applyFont="1" applyFill="1" applyBorder="1" applyAlignment="1">
      <alignment vertical="center"/>
    </xf>
    <xf numFmtId="0" fontId="7" fillId="0" borderId="55" xfId="0" applyFont="1" applyFill="1" applyBorder="1" applyAlignment="1">
      <alignment vertical="center"/>
    </xf>
    <xf numFmtId="0" fontId="7" fillId="0" borderId="57" xfId="0" applyFont="1" applyFill="1" applyBorder="1" applyAlignment="1">
      <alignment vertical="center"/>
    </xf>
    <xf numFmtId="0" fontId="23" fillId="0" borderId="59" xfId="0" applyFont="1" applyFill="1" applyBorder="1" applyAlignment="1">
      <alignment vertical="center"/>
    </xf>
    <xf numFmtId="0" fontId="7" fillId="4" borderId="60" xfId="0" applyFont="1" applyFill="1" applyBorder="1" applyAlignment="1">
      <alignment horizontal="center" vertical="center"/>
    </xf>
    <xf numFmtId="0" fontId="7" fillId="4" borderId="59" xfId="0" applyFont="1" applyFill="1" applyBorder="1" applyAlignment="1">
      <alignment vertical="center"/>
    </xf>
    <xf numFmtId="0" fontId="9" fillId="4" borderId="57" xfId="0" applyFont="1" applyFill="1" applyBorder="1" applyAlignment="1">
      <alignment horizontal="center" vertical="center"/>
    </xf>
    <xf numFmtId="0" fontId="9" fillId="4" borderId="58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9" fillId="0" borderId="58" xfId="0" applyFont="1" applyFill="1" applyBorder="1" applyAlignment="1">
      <alignment horizontal="center" vertical="center"/>
    </xf>
    <xf numFmtId="0" fontId="7" fillId="0" borderId="55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7" fillId="0" borderId="59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19" fillId="0" borderId="7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7" fillId="0" borderId="0" xfId="0" quotePrefix="1" applyFont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3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quotePrefix="1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23" fillId="7" borderId="59" xfId="0" applyFont="1" applyFill="1" applyBorder="1" applyAlignment="1">
      <alignment vertical="center"/>
    </xf>
    <xf numFmtId="0" fontId="23" fillId="7" borderId="55" xfId="0" applyFont="1" applyFill="1" applyBorder="1" applyAlignment="1">
      <alignment vertical="center"/>
    </xf>
    <xf numFmtId="0" fontId="7" fillId="7" borderId="55" xfId="0" applyFont="1" applyFill="1" applyBorder="1" applyAlignment="1">
      <alignment vertical="center"/>
    </xf>
    <xf numFmtId="0" fontId="7" fillId="7" borderId="57" xfId="0" applyFont="1" applyFill="1" applyBorder="1" applyAlignment="1">
      <alignment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23" fillId="7" borderId="57" xfId="0" applyFont="1" applyFill="1" applyBorder="1" applyAlignment="1">
      <alignment vertical="center"/>
    </xf>
    <xf numFmtId="0" fontId="23" fillId="0" borderId="57" xfId="0" applyFont="1" applyFill="1" applyBorder="1" applyAlignment="1">
      <alignment vertical="center"/>
    </xf>
    <xf numFmtId="0" fontId="7" fillId="0" borderId="56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61" xfId="0" applyFont="1" applyBorder="1" applyAlignment="1">
      <alignment vertical="center"/>
    </xf>
    <xf numFmtId="0" fontId="7" fillId="0" borderId="62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60" xfId="0" applyFont="1" applyBorder="1" applyAlignment="1">
      <alignment vertical="center"/>
    </xf>
    <xf numFmtId="20" fontId="7" fillId="7" borderId="7" xfId="0" applyNumberFormat="1" applyFont="1" applyFill="1" applyBorder="1" applyAlignment="1">
      <alignment horizontal="center" vertical="center"/>
    </xf>
    <xf numFmtId="0" fontId="7" fillId="0" borderId="63" xfId="0" quotePrefix="1" applyFont="1" applyBorder="1" applyAlignment="1">
      <alignment horizontal="left" vertical="center" wrapText="1"/>
    </xf>
    <xf numFmtId="20" fontId="9" fillId="4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20" fontId="9" fillId="7" borderId="7" xfId="0" applyNumberFormat="1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20" fontId="7" fillId="2" borderId="7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12" fillId="0" borderId="0" xfId="4" applyFont="1" applyBorder="1" applyAlignment="1">
      <alignment horizontal="center" vertical="center"/>
    </xf>
    <xf numFmtId="0" fontId="12" fillId="0" borderId="0" xfId="8" applyFont="1" applyBorder="1" applyAlignment="1">
      <alignment horizontal="center" vertical="center"/>
    </xf>
    <xf numFmtId="0" fontId="8" fillId="3" borderId="21" xfId="8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3" fillId="0" borderId="23" xfId="4" applyFont="1" applyBorder="1" applyAlignment="1">
      <alignment horizontal="center" vertical="center" wrapText="1"/>
    </xf>
    <xf numFmtId="0" fontId="13" fillId="0" borderId="24" xfId="4" applyFont="1" applyBorder="1" applyAlignment="1">
      <alignment horizontal="center" vertical="center" wrapText="1"/>
    </xf>
    <xf numFmtId="0" fontId="13" fillId="0" borderId="24" xfId="4" applyFont="1" applyBorder="1" applyAlignment="1">
      <alignment vertical="center"/>
    </xf>
    <xf numFmtId="0" fontId="8" fillId="0" borderId="7" xfId="4" applyFont="1" applyBorder="1" applyAlignment="1">
      <alignment vertical="center"/>
    </xf>
    <xf numFmtId="0" fontId="8" fillId="0" borderId="10" xfId="4" applyFont="1" applyBorder="1" applyAlignment="1">
      <alignment vertical="center"/>
    </xf>
    <xf numFmtId="0" fontId="8" fillId="0" borderId="24" xfId="8" applyFont="1" applyBorder="1" applyAlignment="1">
      <alignment vertical="center"/>
    </xf>
    <xf numFmtId="0" fontId="8" fillId="0" borderId="7" xfId="8" applyFont="1" applyBorder="1" applyAlignment="1">
      <alignment vertical="center" wrapText="1"/>
    </xf>
    <xf numFmtId="0" fontId="8" fillId="0" borderId="7" xfId="8" applyFont="1" applyBorder="1" applyAlignment="1">
      <alignment vertical="center"/>
    </xf>
    <xf numFmtId="0" fontId="11" fillId="0" borderId="64" xfId="0" applyFont="1" applyBorder="1" applyAlignment="1">
      <alignment vertical="center" wrapText="1"/>
    </xf>
    <xf numFmtId="0" fontId="8" fillId="0" borderId="21" xfId="8" applyFont="1" applyBorder="1" applyAlignment="1">
      <alignment vertical="center" wrapText="1"/>
    </xf>
    <xf numFmtId="0" fontId="8" fillId="0" borderId="10" xfId="8" applyFont="1" applyBorder="1" applyAlignment="1">
      <alignment vertical="center" wrapText="1"/>
    </xf>
    <xf numFmtId="0" fontId="8" fillId="0" borderId="24" xfId="8" applyFont="1" applyBorder="1" applyAlignment="1">
      <alignment horizontal="left" vertical="center"/>
    </xf>
    <xf numFmtId="0" fontId="11" fillId="0" borderId="64" xfId="0" applyFont="1" applyBorder="1" applyAlignment="1">
      <alignment vertical="center"/>
    </xf>
    <xf numFmtId="0" fontId="8" fillId="0" borderId="7" xfId="8" applyFont="1" applyBorder="1" applyAlignment="1">
      <alignment horizontal="left" vertical="center"/>
    </xf>
    <xf numFmtId="0" fontId="8" fillId="0" borderId="13" xfId="8" applyFont="1" applyBorder="1" applyAlignment="1">
      <alignment vertical="center"/>
    </xf>
    <xf numFmtId="0" fontId="8" fillId="0" borderId="0" xfId="8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8" fillId="2" borderId="21" xfId="8" applyFont="1" applyFill="1" applyBorder="1" applyAlignment="1">
      <alignment vertical="center" wrapText="1"/>
    </xf>
    <xf numFmtId="0" fontId="8" fillId="2" borderId="10" xfId="8" applyFont="1" applyFill="1" applyBorder="1" applyAlignment="1">
      <alignment vertical="center" wrapText="1"/>
    </xf>
    <xf numFmtId="0" fontId="8" fillId="2" borderId="21" xfId="8" applyFont="1" applyFill="1" applyBorder="1" applyAlignment="1">
      <alignment horizontal="left" vertical="center"/>
    </xf>
    <xf numFmtId="0" fontId="10" fillId="0" borderId="0" xfId="4" applyFont="1" applyAlignment="1">
      <alignment horizontal="left" vertical="center" wrapText="1"/>
    </xf>
    <xf numFmtId="0" fontId="12" fillId="0" borderId="0" xfId="4" applyFont="1" applyBorder="1" applyAlignment="1">
      <alignment horizontal="center" vertical="center"/>
    </xf>
    <xf numFmtId="0" fontId="8" fillId="3" borderId="18" xfId="8" applyFont="1" applyFill="1" applyBorder="1" applyAlignment="1">
      <alignment horizontal="left" vertical="center"/>
    </xf>
    <xf numFmtId="0" fontId="8" fillId="3" borderId="14" xfId="8" applyFont="1" applyFill="1" applyBorder="1" applyAlignment="1">
      <alignment horizontal="left" vertical="center"/>
    </xf>
    <xf numFmtId="0" fontId="10" fillId="0" borderId="0" xfId="8" applyFont="1" applyAlignment="1">
      <alignment horizontal="left" vertical="center" wrapText="1"/>
    </xf>
    <xf numFmtId="0" fontId="12" fillId="0" borderId="0" xfId="8" applyFont="1" applyBorder="1" applyAlignment="1">
      <alignment horizontal="center" vertical="center"/>
    </xf>
    <xf numFmtId="0" fontId="8" fillId="3" borderId="22" xfId="8" applyFont="1" applyFill="1" applyBorder="1" applyAlignment="1">
      <alignment horizontal="left" vertical="center" wrapText="1"/>
    </xf>
    <xf numFmtId="0" fontId="8" fillId="3" borderId="28" xfId="8" applyFont="1" applyFill="1" applyBorder="1" applyAlignment="1">
      <alignment horizontal="left" vertical="center" wrapText="1"/>
    </xf>
    <xf numFmtId="0" fontId="8" fillId="3" borderId="22" xfId="8" applyFont="1" applyFill="1" applyBorder="1" applyAlignment="1">
      <alignment horizontal="left" vertical="center"/>
    </xf>
    <xf numFmtId="0" fontId="8" fillId="3" borderId="28" xfId="8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20" fontId="24" fillId="8" borderId="43" xfId="0" applyNumberFormat="1" applyFont="1" applyFill="1" applyBorder="1" applyAlignment="1">
      <alignment horizontal="center" vertical="center"/>
    </xf>
    <xf numFmtId="20" fontId="24" fillId="8" borderId="44" xfId="0" applyNumberFormat="1" applyFont="1" applyFill="1" applyBorder="1" applyAlignment="1">
      <alignment horizontal="center" vertical="center"/>
    </xf>
    <xf numFmtId="20" fontId="24" fillId="8" borderId="45" xfId="0" applyNumberFormat="1" applyFont="1" applyFill="1" applyBorder="1" applyAlignment="1">
      <alignment horizontal="center" vertical="center"/>
    </xf>
    <xf numFmtId="0" fontId="7" fillId="0" borderId="21" xfId="0" quotePrefix="1" applyFont="1" applyBorder="1" applyAlignment="1">
      <alignment horizontal="left" vertical="center" wrapText="1"/>
    </xf>
    <xf numFmtId="0" fontId="7" fillId="0" borderId="2" xfId="0" quotePrefix="1" applyFont="1" applyBorder="1" applyAlignment="1">
      <alignment horizontal="left" vertical="center" wrapText="1"/>
    </xf>
    <xf numFmtId="0" fontId="7" fillId="0" borderId="13" xfId="0" quotePrefix="1" applyFont="1" applyBorder="1" applyAlignment="1">
      <alignment horizontal="left" vertical="center" wrapText="1"/>
    </xf>
    <xf numFmtId="0" fontId="7" fillId="0" borderId="43" xfId="0" quotePrefix="1" applyFont="1" applyBorder="1" applyAlignment="1">
      <alignment horizontal="left" vertical="center" wrapText="1"/>
    </xf>
    <xf numFmtId="0" fontId="7" fillId="0" borderId="45" xfId="0" quotePrefix="1" applyFont="1" applyBorder="1" applyAlignment="1">
      <alignment horizontal="left" vertical="center" wrapText="1"/>
    </xf>
    <xf numFmtId="20" fontId="7" fillId="6" borderId="21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20" fontId="7" fillId="6" borderId="13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24" fillId="8" borderId="47" xfId="0" applyFont="1" applyFill="1" applyBorder="1" applyAlignment="1">
      <alignment horizontal="center" vertical="center"/>
    </xf>
    <xf numFmtId="0" fontId="24" fillId="8" borderId="48" xfId="0" applyFont="1" applyFill="1" applyBorder="1" applyAlignment="1">
      <alignment horizontal="center" vertical="center"/>
    </xf>
    <xf numFmtId="0" fontId="24" fillId="8" borderId="49" xfId="0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9" fillId="7" borderId="54" xfId="0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center" vertical="center"/>
    </xf>
    <xf numFmtId="0" fontId="9" fillId="0" borderId="54" xfId="0" applyFont="1" applyFill="1" applyBorder="1" applyAlignment="1">
      <alignment horizontal="center" vertical="center"/>
    </xf>
    <xf numFmtId="0" fontId="23" fillId="7" borderId="60" xfId="0" applyFont="1" applyFill="1" applyBorder="1" applyAlignment="1">
      <alignment horizontal="center" vertical="center"/>
    </xf>
    <xf numFmtId="0" fontId="23" fillId="7" borderId="56" xfId="0" applyFont="1" applyFill="1" applyBorder="1" applyAlignment="1">
      <alignment horizontal="center" vertical="center"/>
    </xf>
    <xf numFmtId="0" fontId="23" fillId="0" borderId="60" xfId="0" applyFont="1" applyFill="1" applyBorder="1" applyAlignment="1">
      <alignment horizontal="center" vertical="center"/>
    </xf>
    <xf numFmtId="0" fontId="23" fillId="0" borderId="56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23" fillId="7" borderId="58" xfId="0" applyFont="1" applyFill="1" applyBorder="1" applyAlignment="1">
      <alignment horizontal="center" vertical="center"/>
    </xf>
    <xf numFmtId="0" fontId="23" fillId="0" borderId="58" xfId="0" applyFont="1" applyFill="1" applyBorder="1" applyAlignment="1">
      <alignment horizontal="center" vertical="center"/>
    </xf>
    <xf numFmtId="0" fontId="7" fillId="0" borderId="58" xfId="0" applyFont="1" applyFill="1" applyBorder="1" applyAlignment="1">
      <alignment horizontal="center" vertical="center"/>
    </xf>
    <xf numFmtId="0" fontId="23" fillId="4" borderId="56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center" vertical="center"/>
    </xf>
    <xf numFmtId="0" fontId="9" fillId="4" borderId="53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23" fillId="4" borderId="60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7" fillId="4" borderId="60" xfId="0" applyFont="1" applyFill="1" applyBorder="1" applyAlignment="1">
      <alignment horizontal="center" vertical="center"/>
    </xf>
  </cellXfs>
  <cellStyles count="9">
    <cellStyle name="Hyperlink" xfId="5" builtinId="8"/>
    <cellStyle name="Normal" xfId="0" builtinId="0"/>
    <cellStyle name="Normal 2" xfId="1" xr:uid="{00000000-0005-0000-0000-000002000000}"/>
    <cellStyle name="Normal 2 11" xfId="2" xr:uid="{00000000-0005-0000-0000-000003000000}"/>
    <cellStyle name="Normal 2 2" xfId="3" xr:uid="{00000000-0005-0000-0000-000004000000}"/>
    <cellStyle name="Normal 2 2 2" xfId="7" xr:uid="{00000000-0005-0000-0000-000005000000}"/>
    <cellStyle name="Normal 2 3" xfId="6" xr:uid="{00000000-0005-0000-0000-000006000000}"/>
    <cellStyle name="Normal 3" xfId="4" xr:uid="{00000000-0005-0000-0000-000007000000}"/>
    <cellStyle name="Normal 3 2" xfId="8" xr:uid="{00000000-0005-0000-0000-000008000000}"/>
  </cellStyles>
  <dxfs count="4">
    <dxf>
      <fill>
        <patternFill patternType="solid">
          <fgColor rgb="FFC9DAF8"/>
          <bgColor rgb="FFC9DAF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C9DAF8"/>
          <bgColor rgb="FFC9DA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tlon\AppData\Local\Temp\Zalo%20Temp\TempDownloads\Gi&#7843;i%20MT%20M&#7903;%20r&#7897;ng%202026%20-%20up%2009.09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iết kế"/>
      <sheetName val="Contact"/>
      <sheetName val="BTC 19.9"/>
      <sheetName val="BĐ Nam"/>
      <sheetName val="Pick"/>
      <sheetName val="Agenda"/>
      <sheetName val="P.2NN"/>
      <sheetName val="P.2Nữ"/>
      <sheetName val="P.2Nam"/>
      <sheetName val="BĐ 09.09"/>
      <sheetName val="Pick 09.09"/>
      <sheetName val="Note"/>
    </sheetNames>
    <sheetDataSet>
      <sheetData sheetId="0" refreshError="1"/>
      <sheetData sheetId="1" refreshError="1"/>
      <sheetData sheetId="2" refreshError="1"/>
      <sheetData sheetId="3">
        <row r="5">
          <cell r="A5" t="str">
            <v>Địa điểm: Khu liên hiệp thể thao Thanh Hà - Hà Nội</v>
          </cell>
        </row>
        <row r="37">
          <cell r="D37" t="str">
            <v>Giá TK: tính cùng Ban Hậu cần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01"/>
  <sheetViews>
    <sheetView tabSelected="1" zoomScale="96" zoomScaleNormal="96" workbookViewId="0">
      <pane xSplit="4" ySplit="4" topLeftCell="E89" activePane="bottomRight" state="frozen"/>
      <selection activeCell="G93" sqref="G93"/>
      <selection pane="topRight" activeCell="G93" sqref="G93"/>
      <selection pane="bottomLeft" activeCell="G93" sqref="G93"/>
      <selection pane="bottomRight" activeCell="H5" sqref="H5:K101"/>
    </sheetView>
  </sheetViews>
  <sheetFormatPr defaultColWidth="8" defaultRowHeight="18" customHeight="1" x14ac:dyDescent="0.25"/>
  <cols>
    <col min="1" max="1" width="4" style="23" customWidth="1"/>
    <col min="2" max="2" width="5.69921875" style="24" bestFit="1" customWidth="1"/>
    <col min="3" max="3" width="24.5" style="24" bestFit="1" customWidth="1"/>
    <col min="4" max="4" width="12.8984375" style="24" bestFit="1" customWidth="1"/>
    <col min="5" max="5" width="24.8984375" style="24" bestFit="1" customWidth="1"/>
    <col min="6" max="6" width="24.8984375" style="25" bestFit="1" customWidth="1"/>
    <col min="7" max="7" width="17.5" style="25" bestFit="1" customWidth="1"/>
    <col min="8" max="8" width="11.19921875" style="25" bestFit="1" customWidth="1"/>
    <col min="9" max="9" width="14.3984375" style="25" bestFit="1" customWidth="1"/>
    <col min="10" max="10" width="10.19921875" style="24" bestFit="1" customWidth="1"/>
    <col min="11" max="11" width="18.09765625" style="25" bestFit="1" customWidth="1"/>
    <col min="12" max="12" width="8" style="25"/>
    <col min="13" max="21" width="8" style="163"/>
    <col min="22" max="16384" width="8" style="25"/>
  </cols>
  <sheetData>
    <row r="1" spans="1:21" s="18" customFormat="1" ht="18" customHeight="1" x14ac:dyDescent="0.25">
      <c r="A1" s="284" t="s">
        <v>58</v>
      </c>
      <c r="B1" s="284"/>
      <c r="C1" s="284"/>
      <c r="D1" s="284"/>
      <c r="E1" s="284"/>
      <c r="F1" s="284"/>
      <c r="G1" s="16"/>
      <c r="H1" s="16"/>
      <c r="I1" s="16"/>
      <c r="J1" s="26"/>
      <c r="K1" s="16"/>
      <c r="L1" s="17"/>
      <c r="M1" s="159"/>
      <c r="N1" s="159"/>
      <c r="O1" s="159"/>
      <c r="P1" s="159"/>
      <c r="Q1" s="159"/>
      <c r="R1" s="159"/>
      <c r="S1" s="159"/>
      <c r="T1" s="159"/>
      <c r="U1" s="159"/>
    </row>
    <row r="2" spans="1:21" s="18" customFormat="1" ht="25.5" customHeight="1" x14ac:dyDescent="0.25">
      <c r="A2" s="285" t="s">
        <v>59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19"/>
      <c r="M2" s="159"/>
      <c r="N2" s="159"/>
      <c r="O2" s="159"/>
      <c r="P2" s="159"/>
      <c r="Q2" s="159"/>
      <c r="R2" s="159"/>
      <c r="S2" s="159"/>
      <c r="T2" s="159"/>
      <c r="U2" s="159"/>
    </row>
    <row r="3" spans="1:21" s="18" customFormat="1" ht="25.5" customHeight="1" thickBot="1" x14ac:dyDescent="0.3">
      <c r="A3" s="27"/>
      <c r="B3" s="27"/>
      <c r="C3" s="254"/>
      <c r="D3" s="27"/>
      <c r="E3" s="109"/>
      <c r="F3" s="27"/>
      <c r="G3" s="27"/>
      <c r="H3" s="27"/>
      <c r="I3" s="27"/>
      <c r="J3" s="27"/>
      <c r="K3" s="27"/>
      <c r="L3" s="19"/>
      <c r="M3" s="159"/>
      <c r="N3" s="159"/>
      <c r="O3" s="159"/>
      <c r="P3" s="159"/>
      <c r="Q3" s="159"/>
      <c r="R3" s="159"/>
      <c r="S3" s="159"/>
      <c r="T3" s="159"/>
      <c r="U3" s="159"/>
    </row>
    <row r="4" spans="1:21" s="20" customFormat="1" ht="18" customHeight="1" x14ac:dyDescent="0.25">
      <c r="A4" s="262" t="s">
        <v>60</v>
      </c>
      <c r="B4" s="263" t="s">
        <v>61</v>
      </c>
      <c r="C4" s="263" t="s">
        <v>763</v>
      </c>
      <c r="D4" s="28" t="s">
        <v>62</v>
      </c>
      <c r="E4" s="28" t="s">
        <v>335</v>
      </c>
      <c r="F4" s="28" t="s">
        <v>63</v>
      </c>
      <c r="G4" s="28" t="s">
        <v>64</v>
      </c>
      <c r="H4" s="28" t="s">
        <v>65</v>
      </c>
      <c r="I4" s="28" t="s">
        <v>66</v>
      </c>
      <c r="J4" s="28" t="s">
        <v>57</v>
      </c>
      <c r="K4" s="29" t="s">
        <v>10</v>
      </c>
      <c r="M4" s="160"/>
      <c r="N4" s="160"/>
      <c r="O4" s="160"/>
      <c r="P4" s="160"/>
      <c r="Q4" s="160"/>
      <c r="R4" s="160"/>
      <c r="S4" s="160"/>
      <c r="T4" s="160"/>
      <c r="U4" s="160"/>
    </row>
    <row r="5" spans="1:21" s="21" customFormat="1" ht="18" customHeight="1" x14ac:dyDescent="0.25">
      <c r="A5" s="30">
        <v>1</v>
      </c>
      <c r="B5" s="31">
        <v>1</v>
      </c>
      <c r="C5" s="32" t="s">
        <v>241</v>
      </c>
      <c r="D5" s="32" t="s">
        <v>67</v>
      </c>
      <c r="E5" s="32" t="s">
        <v>241</v>
      </c>
      <c r="F5" s="32" t="s">
        <v>243</v>
      </c>
      <c r="G5" s="33" t="s">
        <v>244</v>
      </c>
      <c r="H5" s="33"/>
      <c r="I5" s="34"/>
      <c r="J5" s="35"/>
      <c r="K5" s="36"/>
      <c r="M5" s="161"/>
      <c r="N5" s="161"/>
      <c r="O5" s="161"/>
      <c r="P5" s="161"/>
      <c r="Q5" s="161"/>
      <c r="R5" s="161"/>
      <c r="S5" s="161"/>
      <c r="T5" s="161"/>
      <c r="U5" s="161"/>
    </row>
    <row r="6" spans="1:21" s="21" customFormat="1" ht="18" customHeight="1" x14ac:dyDescent="0.25">
      <c r="A6" s="30"/>
      <c r="B6" s="35">
        <v>2</v>
      </c>
      <c r="C6" s="37"/>
      <c r="D6" s="37" t="s">
        <v>67</v>
      </c>
      <c r="E6" s="37"/>
      <c r="F6" s="37" t="s">
        <v>243</v>
      </c>
      <c r="G6" s="38" t="s">
        <v>80</v>
      </c>
      <c r="H6" s="38"/>
      <c r="I6" s="34"/>
      <c r="J6" s="35"/>
      <c r="K6" s="36"/>
      <c r="M6" s="161"/>
      <c r="N6" s="161"/>
      <c r="O6" s="161"/>
      <c r="P6" s="161"/>
      <c r="Q6" s="161"/>
      <c r="R6" s="161"/>
      <c r="S6" s="161"/>
      <c r="T6" s="161"/>
      <c r="U6" s="161"/>
    </row>
    <row r="7" spans="1:21" s="21" customFormat="1" ht="18" customHeight="1" x14ac:dyDescent="0.25">
      <c r="A7" s="30"/>
      <c r="B7" s="35">
        <v>3</v>
      </c>
      <c r="C7" s="37"/>
      <c r="D7" s="37" t="s">
        <v>67</v>
      </c>
      <c r="E7" s="37"/>
      <c r="F7" s="37" t="s">
        <v>243</v>
      </c>
      <c r="G7" s="38" t="s">
        <v>77</v>
      </c>
      <c r="H7" s="38"/>
      <c r="I7" s="34"/>
      <c r="J7" s="35"/>
      <c r="K7" s="36"/>
      <c r="M7" s="161"/>
      <c r="N7" s="161"/>
      <c r="O7" s="161"/>
      <c r="P7" s="161"/>
      <c r="Q7" s="161"/>
      <c r="R7" s="161"/>
      <c r="S7" s="161"/>
      <c r="T7" s="161"/>
      <c r="U7" s="161"/>
    </row>
    <row r="8" spans="1:21" s="21" customFormat="1" ht="18" customHeight="1" x14ac:dyDescent="0.25">
      <c r="A8" s="30"/>
      <c r="B8" s="35">
        <v>4</v>
      </c>
      <c r="C8" s="37"/>
      <c r="D8" s="37" t="s">
        <v>67</v>
      </c>
      <c r="E8" s="37"/>
      <c r="F8" s="37" t="s">
        <v>243</v>
      </c>
      <c r="G8" s="38" t="s">
        <v>87</v>
      </c>
      <c r="H8" s="38"/>
      <c r="I8" s="34"/>
      <c r="J8" s="35"/>
      <c r="K8" s="36"/>
      <c r="M8" s="161"/>
      <c r="N8" s="161"/>
      <c r="O8" s="161"/>
      <c r="P8" s="161"/>
      <c r="Q8" s="161"/>
      <c r="R8" s="161"/>
      <c r="S8" s="161"/>
      <c r="T8" s="161"/>
      <c r="U8" s="161"/>
    </row>
    <row r="9" spans="1:21" s="21" customFormat="1" ht="18" customHeight="1" x14ac:dyDescent="0.25">
      <c r="A9" s="30"/>
      <c r="B9" s="35">
        <v>5</v>
      </c>
      <c r="C9" s="37"/>
      <c r="D9" s="37" t="s">
        <v>67</v>
      </c>
      <c r="E9" s="37"/>
      <c r="F9" s="37" t="s">
        <v>243</v>
      </c>
      <c r="G9" s="38" t="s">
        <v>70</v>
      </c>
      <c r="H9" s="38"/>
      <c r="I9" s="34"/>
      <c r="J9" s="35"/>
      <c r="K9" s="36"/>
      <c r="M9" s="161"/>
      <c r="N9" s="161"/>
      <c r="O9" s="161"/>
      <c r="P9" s="161"/>
      <c r="Q9" s="161"/>
      <c r="R9" s="161"/>
      <c r="S9" s="161"/>
      <c r="T9" s="161"/>
      <c r="U9" s="161"/>
    </row>
    <row r="10" spans="1:21" s="21" customFormat="1" ht="18" customHeight="1" x14ac:dyDescent="0.25">
      <c r="A10" s="30"/>
      <c r="B10" s="35">
        <v>6</v>
      </c>
      <c r="C10" s="37"/>
      <c r="D10" s="37" t="s">
        <v>67</v>
      </c>
      <c r="E10" s="37"/>
      <c r="F10" s="37" t="s">
        <v>243</v>
      </c>
      <c r="G10" s="38" t="s">
        <v>71</v>
      </c>
      <c r="H10" s="38"/>
      <c r="I10" s="34"/>
      <c r="J10" s="35"/>
      <c r="K10" s="36"/>
      <c r="M10" s="161"/>
      <c r="N10" s="161"/>
      <c r="O10" s="161"/>
      <c r="P10" s="161"/>
      <c r="Q10" s="161"/>
      <c r="R10" s="161"/>
      <c r="S10" s="161"/>
      <c r="T10" s="161"/>
      <c r="U10" s="161"/>
    </row>
    <row r="11" spans="1:21" s="21" customFormat="1" ht="18" customHeight="1" x14ac:dyDescent="0.25">
      <c r="A11" s="30"/>
      <c r="B11" s="35">
        <v>7</v>
      </c>
      <c r="C11" s="37"/>
      <c r="D11" s="37" t="s">
        <v>67</v>
      </c>
      <c r="E11" s="37"/>
      <c r="F11" s="37" t="s">
        <v>243</v>
      </c>
      <c r="G11" s="38" t="s">
        <v>79</v>
      </c>
      <c r="H11" s="38"/>
      <c r="I11" s="34"/>
      <c r="J11" s="35"/>
      <c r="K11" s="36"/>
      <c r="M11" s="161"/>
      <c r="N11" s="161"/>
      <c r="O11" s="161"/>
      <c r="P11" s="161"/>
      <c r="Q11" s="161"/>
      <c r="R11" s="161"/>
      <c r="S11" s="161"/>
      <c r="T11" s="161"/>
      <c r="U11" s="161"/>
    </row>
    <row r="12" spans="1:21" s="21" customFormat="1" ht="18" customHeight="1" x14ac:dyDescent="0.25">
      <c r="A12" s="30"/>
      <c r="B12" s="35">
        <v>8</v>
      </c>
      <c r="C12" s="37"/>
      <c r="D12" s="37" t="s">
        <v>67</v>
      </c>
      <c r="E12" s="37"/>
      <c r="F12" s="37" t="s">
        <v>243</v>
      </c>
      <c r="G12" s="38" t="s">
        <v>78</v>
      </c>
      <c r="H12" s="38"/>
      <c r="I12" s="34"/>
      <c r="J12" s="35"/>
      <c r="K12" s="36"/>
      <c r="M12" s="161"/>
      <c r="N12" s="161"/>
      <c r="O12" s="161"/>
      <c r="P12" s="161"/>
      <c r="Q12" s="161"/>
      <c r="R12" s="161"/>
      <c r="S12" s="161"/>
      <c r="T12" s="161"/>
      <c r="U12" s="161"/>
    </row>
    <row r="13" spans="1:21" s="21" customFormat="1" ht="18" customHeight="1" x14ac:dyDescent="0.25">
      <c r="A13" s="30"/>
      <c r="B13" s="35">
        <v>9</v>
      </c>
      <c r="C13" s="37"/>
      <c r="D13" s="37" t="s">
        <v>67</v>
      </c>
      <c r="E13" s="37"/>
      <c r="F13" s="37" t="s">
        <v>243</v>
      </c>
      <c r="G13" s="38" t="s">
        <v>74</v>
      </c>
      <c r="H13" s="38"/>
      <c r="I13" s="34"/>
      <c r="J13" s="35"/>
      <c r="K13" s="36"/>
      <c r="M13" s="161"/>
      <c r="N13" s="161"/>
      <c r="O13" s="161"/>
      <c r="P13" s="161"/>
      <c r="Q13" s="161"/>
      <c r="R13" s="161"/>
      <c r="S13" s="161"/>
      <c r="T13" s="161"/>
      <c r="U13" s="161"/>
    </row>
    <row r="14" spans="1:21" s="21" customFormat="1" ht="18" customHeight="1" x14ac:dyDescent="0.25">
      <c r="A14" s="30"/>
      <c r="B14" s="35">
        <v>10</v>
      </c>
      <c r="C14" s="37"/>
      <c r="D14" s="37" t="s">
        <v>67</v>
      </c>
      <c r="E14" s="37"/>
      <c r="F14" s="37" t="s">
        <v>243</v>
      </c>
      <c r="G14" s="38" t="s">
        <v>75</v>
      </c>
      <c r="H14" s="38"/>
      <c r="I14" s="34"/>
      <c r="J14" s="35"/>
      <c r="K14" s="36"/>
      <c r="M14" s="161"/>
      <c r="N14" s="161"/>
      <c r="O14" s="161"/>
      <c r="P14" s="161"/>
      <c r="Q14" s="161"/>
      <c r="R14" s="161"/>
      <c r="S14" s="161"/>
      <c r="T14" s="161"/>
      <c r="U14" s="161"/>
    </row>
    <row r="15" spans="1:21" s="21" customFormat="1" ht="18" customHeight="1" x14ac:dyDescent="0.25">
      <c r="A15" s="59"/>
      <c r="B15" s="35">
        <v>11</v>
      </c>
      <c r="C15" s="70"/>
      <c r="D15" s="37" t="s">
        <v>67</v>
      </c>
      <c r="E15" s="70"/>
      <c r="F15" s="37" t="s">
        <v>243</v>
      </c>
      <c r="G15" s="71" t="s">
        <v>76</v>
      </c>
      <c r="H15" s="71"/>
      <c r="I15" s="61"/>
      <c r="J15" s="60"/>
      <c r="K15" s="74"/>
      <c r="M15" s="161"/>
      <c r="N15" s="161"/>
      <c r="O15" s="161"/>
      <c r="P15" s="161"/>
      <c r="Q15" s="161"/>
      <c r="R15" s="161"/>
      <c r="S15" s="161"/>
      <c r="T15" s="161"/>
      <c r="U15" s="161"/>
    </row>
    <row r="16" spans="1:21" s="21" customFormat="1" ht="18" customHeight="1" thickBot="1" x14ac:dyDescent="0.3">
      <c r="A16" s="59"/>
      <c r="B16" s="35">
        <v>12</v>
      </c>
      <c r="C16" s="70"/>
      <c r="D16" s="70" t="s">
        <v>67</v>
      </c>
      <c r="E16" s="70"/>
      <c r="F16" s="70" t="s">
        <v>243</v>
      </c>
      <c r="G16" s="71" t="s">
        <v>764</v>
      </c>
      <c r="H16" s="71"/>
      <c r="I16" s="61"/>
      <c r="J16" s="60"/>
      <c r="K16" s="74"/>
      <c r="M16" s="161"/>
      <c r="N16" s="161"/>
      <c r="O16" s="161"/>
      <c r="P16" s="161"/>
      <c r="Q16" s="161"/>
      <c r="R16" s="161"/>
      <c r="S16" s="161"/>
      <c r="T16" s="161"/>
      <c r="U16" s="161"/>
    </row>
    <row r="17" spans="1:21" s="21" customFormat="1" ht="18" customHeight="1" x14ac:dyDescent="0.25">
      <c r="A17" s="62">
        <v>2</v>
      </c>
      <c r="B17" s="63">
        <v>1</v>
      </c>
      <c r="C17" s="64" t="s">
        <v>242</v>
      </c>
      <c r="D17" s="64" t="s">
        <v>67</v>
      </c>
      <c r="E17" s="64" t="s">
        <v>242</v>
      </c>
      <c r="F17" s="64" t="s">
        <v>245</v>
      </c>
      <c r="G17" s="65" t="s">
        <v>69</v>
      </c>
      <c r="H17" s="75"/>
      <c r="I17" s="76"/>
      <c r="J17" s="87"/>
      <c r="K17" s="89"/>
      <c r="M17" s="161"/>
      <c r="N17" s="161"/>
      <c r="O17" s="161"/>
      <c r="P17" s="161"/>
      <c r="Q17" s="161"/>
      <c r="R17" s="161"/>
      <c r="S17" s="161"/>
      <c r="T17" s="161"/>
      <c r="U17" s="161"/>
    </row>
    <row r="18" spans="1:21" s="21" customFormat="1" ht="18" customHeight="1" x14ac:dyDescent="0.25">
      <c r="A18" s="30"/>
      <c r="B18" s="35">
        <v>2</v>
      </c>
      <c r="C18" s="37"/>
      <c r="D18" s="37" t="s">
        <v>67</v>
      </c>
      <c r="E18" s="37"/>
      <c r="F18" s="37" t="s">
        <v>245</v>
      </c>
      <c r="G18" s="38" t="s">
        <v>72</v>
      </c>
      <c r="H18" s="38"/>
      <c r="I18" s="34"/>
      <c r="J18" s="35"/>
      <c r="K18" s="36"/>
      <c r="M18" s="161"/>
      <c r="N18" s="161"/>
      <c r="O18" s="161"/>
      <c r="P18" s="161"/>
      <c r="Q18" s="161"/>
      <c r="R18" s="161"/>
      <c r="S18" s="161"/>
      <c r="T18" s="161"/>
      <c r="U18" s="161"/>
    </row>
    <row r="19" spans="1:21" s="21" customFormat="1" ht="18" customHeight="1" x14ac:dyDescent="0.25">
      <c r="A19" s="30"/>
      <c r="B19" s="35">
        <v>3</v>
      </c>
      <c r="C19" s="37"/>
      <c r="D19" s="37" t="s">
        <v>67</v>
      </c>
      <c r="E19" s="37"/>
      <c r="F19" s="37" t="s">
        <v>245</v>
      </c>
      <c r="G19" s="38" t="s">
        <v>73</v>
      </c>
      <c r="H19" s="38"/>
      <c r="I19" s="34"/>
      <c r="J19" s="35"/>
      <c r="K19" s="36"/>
      <c r="M19" s="161"/>
      <c r="N19" s="161"/>
      <c r="O19" s="161"/>
      <c r="P19" s="161"/>
      <c r="Q19" s="161"/>
      <c r="R19" s="161"/>
      <c r="S19" s="161"/>
      <c r="T19" s="161"/>
      <c r="U19" s="161"/>
    </row>
    <row r="20" spans="1:21" s="21" customFormat="1" ht="18" customHeight="1" x14ac:dyDescent="0.25">
      <c r="A20" s="30"/>
      <c r="B20" s="35">
        <v>4</v>
      </c>
      <c r="C20" s="37"/>
      <c r="D20" s="37" t="s">
        <v>67</v>
      </c>
      <c r="E20" s="37"/>
      <c r="F20" s="37" t="s">
        <v>245</v>
      </c>
      <c r="G20" s="38" t="s">
        <v>86</v>
      </c>
      <c r="H20" s="38"/>
      <c r="I20" s="34"/>
      <c r="J20" s="35"/>
      <c r="K20" s="36"/>
      <c r="M20" s="161"/>
      <c r="N20" s="161"/>
      <c r="O20" s="161"/>
      <c r="P20" s="161"/>
      <c r="Q20" s="161"/>
      <c r="R20" s="161"/>
      <c r="S20" s="161"/>
      <c r="T20" s="161"/>
      <c r="U20" s="161"/>
    </row>
    <row r="21" spans="1:21" s="21" customFormat="1" ht="18" customHeight="1" x14ac:dyDescent="0.25">
      <c r="A21" s="30"/>
      <c r="B21" s="35">
        <v>5</v>
      </c>
      <c r="C21" s="37"/>
      <c r="D21" s="37" t="s">
        <v>67</v>
      </c>
      <c r="E21" s="37"/>
      <c r="F21" s="37" t="s">
        <v>245</v>
      </c>
      <c r="G21" s="38" t="s">
        <v>84</v>
      </c>
      <c r="H21" s="38"/>
      <c r="I21" s="34"/>
      <c r="J21" s="35"/>
      <c r="K21" s="36"/>
      <c r="M21" s="161"/>
      <c r="N21" s="161"/>
      <c r="O21" s="161"/>
      <c r="P21" s="161"/>
      <c r="Q21" s="161"/>
      <c r="R21" s="161"/>
      <c r="S21" s="161"/>
      <c r="T21" s="161"/>
      <c r="U21" s="161"/>
    </row>
    <row r="22" spans="1:21" s="21" customFormat="1" ht="18" customHeight="1" x14ac:dyDescent="0.25">
      <c r="A22" s="30"/>
      <c r="B22" s="35">
        <v>6</v>
      </c>
      <c r="C22" s="37"/>
      <c r="D22" s="37" t="s">
        <v>67</v>
      </c>
      <c r="E22" s="37"/>
      <c r="F22" s="37" t="s">
        <v>245</v>
      </c>
      <c r="G22" s="38" t="s">
        <v>81</v>
      </c>
      <c r="H22" s="38"/>
      <c r="I22" s="34"/>
      <c r="J22" s="35"/>
      <c r="K22" s="36"/>
      <c r="M22" s="161"/>
      <c r="N22" s="161"/>
      <c r="O22" s="161"/>
      <c r="P22" s="161"/>
      <c r="Q22" s="161"/>
      <c r="R22" s="161"/>
      <c r="S22" s="161"/>
      <c r="T22" s="161"/>
      <c r="U22" s="161"/>
    </row>
    <row r="23" spans="1:21" s="21" customFormat="1" ht="18" customHeight="1" x14ac:dyDescent="0.25">
      <c r="A23" s="30"/>
      <c r="B23" s="35">
        <v>7</v>
      </c>
      <c r="C23" s="37"/>
      <c r="D23" s="37" t="s">
        <v>67</v>
      </c>
      <c r="E23" s="37"/>
      <c r="F23" s="37" t="s">
        <v>245</v>
      </c>
      <c r="G23" s="38" t="s">
        <v>68</v>
      </c>
      <c r="H23" s="38"/>
      <c r="I23" s="34"/>
      <c r="J23" s="35"/>
      <c r="K23" s="36"/>
      <c r="M23" s="161"/>
      <c r="N23" s="161"/>
      <c r="O23" s="161"/>
      <c r="P23" s="161"/>
      <c r="Q23" s="161"/>
      <c r="R23" s="161"/>
      <c r="S23" s="161"/>
      <c r="T23" s="161"/>
      <c r="U23" s="161"/>
    </row>
    <row r="24" spans="1:21" s="21" customFormat="1" ht="18" customHeight="1" x14ac:dyDescent="0.25">
      <c r="A24" s="30"/>
      <c r="B24" s="35">
        <v>8</v>
      </c>
      <c r="C24" s="37"/>
      <c r="D24" s="37" t="s">
        <v>67</v>
      </c>
      <c r="E24" s="37"/>
      <c r="F24" s="37" t="s">
        <v>245</v>
      </c>
      <c r="G24" s="38" t="s">
        <v>82</v>
      </c>
      <c r="H24" s="38"/>
      <c r="I24" s="34"/>
      <c r="J24" s="35"/>
      <c r="K24" s="36"/>
      <c r="M24" s="161"/>
      <c r="N24" s="161"/>
      <c r="O24" s="161"/>
      <c r="P24" s="161"/>
      <c r="Q24" s="161"/>
      <c r="R24" s="161"/>
      <c r="S24" s="161"/>
      <c r="T24" s="161"/>
      <c r="U24" s="161"/>
    </row>
    <row r="25" spans="1:21" s="21" customFormat="1" ht="18" customHeight="1" x14ac:dyDescent="0.25">
      <c r="A25" s="30"/>
      <c r="B25" s="35">
        <v>9</v>
      </c>
      <c r="C25" s="37"/>
      <c r="D25" s="37" t="s">
        <v>67</v>
      </c>
      <c r="E25" s="37"/>
      <c r="F25" s="37" t="s">
        <v>245</v>
      </c>
      <c r="G25" s="38" t="s">
        <v>83</v>
      </c>
      <c r="H25" s="38"/>
      <c r="I25" s="34"/>
      <c r="J25" s="35"/>
      <c r="K25" s="36"/>
      <c r="M25" s="161"/>
      <c r="N25" s="161"/>
      <c r="O25" s="161"/>
      <c r="P25" s="161"/>
      <c r="Q25" s="161"/>
      <c r="R25" s="161"/>
      <c r="S25" s="161"/>
      <c r="T25" s="161"/>
      <c r="U25" s="161"/>
    </row>
    <row r="26" spans="1:21" s="21" customFormat="1" ht="18" customHeight="1" x14ac:dyDescent="0.25">
      <c r="A26" s="59"/>
      <c r="B26" s="35">
        <v>10</v>
      </c>
      <c r="C26" s="70"/>
      <c r="D26" s="37" t="s">
        <v>67</v>
      </c>
      <c r="E26" s="70"/>
      <c r="F26" s="37" t="s">
        <v>245</v>
      </c>
      <c r="G26" s="71" t="s">
        <v>246</v>
      </c>
      <c r="H26" s="71"/>
      <c r="I26" s="61"/>
      <c r="J26" s="60"/>
      <c r="K26" s="74"/>
      <c r="M26" s="161"/>
      <c r="N26" s="161"/>
      <c r="O26" s="161"/>
      <c r="P26" s="161"/>
      <c r="Q26" s="161"/>
      <c r="R26" s="161"/>
      <c r="S26" s="161"/>
      <c r="T26" s="161"/>
      <c r="U26" s="161"/>
    </row>
    <row r="27" spans="1:21" s="21" customFormat="1" ht="18" customHeight="1" x14ac:dyDescent="0.25">
      <c r="A27" s="59"/>
      <c r="B27" s="35">
        <v>11</v>
      </c>
      <c r="C27" s="70"/>
      <c r="D27" s="37" t="s">
        <v>67</v>
      </c>
      <c r="E27" s="70"/>
      <c r="F27" s="37" t="s">
        <v>245</v>
      </c>
      <c r="G27" s="71" t="s">
        <v>85</v>
      </c>
      <c r="H27" s="71"/>
      <c r="I27" s="61"/>
      <c r="J27" s="60"/>
      <c r="K27" s="74"/>
      <c r="M27" s="161"/>
      <c r="N27" s="161"/>
      <c r="O27" s="161"/>
      <c r="P27" s="161"/>
      <c r="Q27" s="161"/>
      <c r="R27" s="161"/>
      <c r="S27" s="161"/>
      <c r="T27" s="161"/>
      <c r="U27" s="161"/>
    </row>
    <row r="28" spans="1:21" s="21" customFormat="1" ht="18" customHeight="1" x14ac:dyDescent="0.25">
      <c r="A28" s="96"/>
      <c r="B28" s="35">
        <v>12</v>
      </c>
      <c r="C28" s="98"/>
      <c r="D28" s="98" t="s">
        <v>67</v>
      </c>
      <c r="E28" s="98"/>
      <c r="F28" s="98" t="s">
        <v>245</v>
      </c>
      <c r="G28" s="99" t="s">
        <v>765</v>
      </c>
      <c r="H28" s="99"/>
      <c r="I28" s="100"/>
      <c r="J28" s="97"/>
      <c r="K28" s="101"/>
      <c r="M28" s="161"/>
      <c r="N28" s="161"/>
      <c r="O28" s="161"/>
      <c r="P28" s="161"/>
      <c r="Q28" s="161"/>
      <c r="R28" s="161"/>
      <c r="S28" s="161"/>
      <c r="T28" s="161"/>
      <c r="U28" s="161"/>
    </row>
    <row r="29" spans="1:21" s="21" customFormat="1" ht="18" customHeight="1" x14ac:dyDescent="0.25">
      <c r="A29" s="90">
        <v>3</v>
      </c>
      <c r="B29" s="91">
        <v>1</v>
      </c>
      <c r="C29" s="92" t="s">
        <v>0</v>
      </c>
      <c r="D29" s="92" t="s">
        <v>67</v>
      </c>
      <c r="E29" s="92" t="s">
        <v>0</v>
      </c>
      <c r="F29" s="92" t="s">
        <v>0</v>
      </c>
      <c r="G29" s="92" t="s">
        <v>88</v>
      </c>
      <c r="H29" s="93"/>
      <c r="I29" s="92"/>
      <c r="J29" s="94"/>
      <c r="K29" s="95"/>
      <c r="M29" s="161"/>
      <c r="N29" s="161"/>
      <c r="O29" s="161"/>
      <c r="P29" s="161"/>
      <c r="Q29" s="161"/>
      <c r="R29" s="161"/>
      <c r="S29" s="161"/>
      <c r="T29" s="161"/>
      <c r="U29" s="161"/>
    </row>
    <row r="30" spans="1:21" s="21" customFormat="1" ht="18" customHeight="1" x14ac:dyDescent="0.25">
      <c r="A30" s="41"/>
      <c r="B30" s="35">
        <f>B29+1</f>
        <v>2</v>
      </c>
      <c r="C30" s="37"/>
      <c r="D30" s="37" t="s">
        <v>67</v>
      </c>
      <c r="E30" s="37"/>
      <c r="F30" s="37" t="s">
        <v>0</v>
      </c>
      <c r="G30" s="37" t="s">
        <v>89</v>
      </c>
      <c r="H30" s="38"/>
      <c r="I30" s="37"/>
      <c r="J30" s="42"/>
      <c r="K30" s="43"/>
      <c r="M30" s="161"/>
      <c r="N30" s="161"/>
      <c r="O30" s="161"/>
      <c r="P30" s="161"/>
      <c r="Q30" s="161"/>
      <c r="R30" s="161"/>
      <c r="S30" s="161"/>
      <c r="T30" s="161"/>
      <c r="U30" s="161"/>
    </row>
    <row r="31" spans="1:21" s="21" customFormat="1" ht="18" customHeight="1" x14ac:dyDescent="0.25">
      <c r="A31" s="39"/>
      <c r="B31" s="35">
        <f t="shared" ref="B31:B40" si="0">B30+1</f>
        <v>3</v>
      </c>
      <c r="C31" s="37"/>
      <c r="D31" s="37" t="s">
        <v>67</v>
      </c>
      <c r="E31" s="37"/>
      <c r="F31" s="37" t="s">
        <v>0</v>
      </c>
      <c r="G31" s="37" t="s">
        <v>90</v>
      </c>
      <c r="H31" s="38"/>
      <c r="I31" s="37"/>
      <c r="J31" s="44"/>
      <c r="K31" s="43"/>
      <c r="M31" s="161"/>
      <c r="N31" s="161"/>
      <c r="O31" s="161"/>
      <c r="P31" s="161"/>
      <c r="Q31" s="161"/>
      <c r="R31" s="161"/>
      <c r="S31" s="161"/>
      <c r="T31" s="161"/>
      <c r="U31" s="161"/>
    </row>
    <row r="32" spans="1:21" s="21" customFormat="1" ht="18" customHeight="1" x14ac:dyDescent="0.25">
      <c r="A32" s="39"/>
      <c r="B32" s="35">
        <f t="shared" si="0"/>
        <v>4</v>
      </c>
      <c r="C32" s="37"/>
      <c r="D32" s="37" t="s">
        <v>67</v>
      </c>
      <c r="E32" s="37"/>
      <c r="F32" s="37" t="s">
        <v>0</v>
      </c>
      <c r="G32" s="37" t="s">
        <v>91</v>
      </c>
      <c r="H32" s="38"/>
      <c r="I32" s="37"/>
      <c r="J32" s="44"/>
      <c r="K32" s="40"/>
      <c r="M32" s="161"/>
      <c r="N32" s="161"/>
      <c r="O32" s="161"/>
      <c r="P32" s="161"/>
      <c r="Q32" s="161"/>
      <c r="R32" s="161"/>
      <c r="S32" s="161"/>
      <c r="T32" s="161"/>
      <c r="U32" s="161"/>
    </row>
    <row r="33" spans="1:21" s="21" customFormat="1" ht="18" customHeight="1" x14ac:dyDescent="0.25">
      <c r="A33" s="39"/>
      <c r="B33" s="35">
        <f t="shared" si="0"/>
        <v>5</v>
      </c>
      <c r="C33" s="37"/>
      <c r="D33" s="37" t="s">
        <v>67</v>
      </c>
      <c r="E33" s="37"/>
      <c r="F33" s="37" t="s">
        <v>0</v>
      </c>
      <c r="G33" s="37" t="s">
        <v>92</v>
      </c>
      <c r="H33" s="38"/>
      <c r="I33" s="37"/>
      <c r="J33" s="35"/>
      <c r="K33" s="36"/>
      <c r="M33" s="161"/>
      <c r="N33" s="161"/>
      <c r="O33" s="161"/>
      <c r="P33" s="161"/>
      <c r="Q33" s="161"/>
      <c r="R33" s="161"/>
      <c r="S33" s="161"/>
      <c r="T33" s="161"/>
      <c r="U33" s="161"/>
    </row>
    <row r="34" spans="1:21" s="21" customFormat="1" ht="18" customHeight="1" x14ac:dyDescent="0.25">
      <c r="A34" s="39"/>
      <c r="B34" s="35">
        <f t="shared" si="0"/>
        <v>6</v>
      </c>
      <c r="C34" s="37"/>
      <c r="D34" s="37" t="s">
        <v>67</v>
      </c>
      <c r="E34" s="37"/>
      <c r="F34" s="37" t="s">
        <v>0</v>
      </c>
      <c r="G34" s="37" t="s">
        <v>93</v>
      </c>
      <c r="H34" s="38"/>
      <c r="I34" s="37"/>
      <c r="J34" s="42"/>
      <c r="K34" s="43"/>
      <c r="M34" s="161"/>
      <c r="N34" s="161"/>
      <c r="O34" s="161"/>
      <c r="P34" s="161"/>
      <c r="Q34" s="161"/>
      <c r="R34" s="161"/>
      <c r="S34" s="161"/>
      <c r="T34" s="161"/>
      <c r="U34" s="161"/>
    </row>
    <row r="35" spans="1:21" s="21" customFormat="1" ht="18" customHeight="1" x14ac:dyDescent="0.25">
      <c r="A35" s="39"/>
      <c r="B35" s="35">
        <f t="shared" si="0"/>
        <v>7</v>
      </c>
      <c r="C35" s="37"/>
      <c r="D35" s="37" t="s">
        <v>67</v>
      </c>
      <c r="E35" s="37"/>
      <c r="F35" s="37" t="s">
        <v>0</v>
      </c>
      <c r="G35" s="37" t="s">
        <v>94</v>
      </c>
      <c r="H35" s="38"/>
      <c r="I35" s="37"/>
      <c r="J35" s="44"/>
      <c r="K35" s="40"/>
      <c r="M35" s="161"/>
      <c r="N35" s="161"/>
      <c r="O35" s="161"/>
      <c r="P35" s="161"/>
      <c r="Q35" s="161"/>
      <c r="R35" s="161"/>
      <c r="S35" s="161"/>
      <c r="T35" s="161"/>
      <c r="U35" s="161"/>
    </row>
    <row r="36" spans="1:21" s="21" customFormat="1" ht="18" customHeight="1" x14ac:dyDescent="0.25">
      <c r="A36" s="39"/>
      <c r="B36" s="35">
        <f t="shared" si="0"/>
        <v>8</v>
      </c>
      <c r="C36" s="37"/>
      <c r="D36" s="37" t="s">
        <v>67</v>
      </c>
      <c r="E36" s="37"/>
      <c r="F36" s="37" t="s">
        <v>0</v>
      </c>
      <c r="G36" s="37" t="s">
        <v>95</v>
      </c>
      <c r="H36" s="38"/>
      <c r="I36" s="37"/>
      <c r="J36" s="45"/>
      <c r="K36" s="43"/>
      <c r="M36" s="161"/>
      <c r="N36" s="161"/>
      <c r="O36" s="161"/>
      <c r="P36" s="161"/>
      <c r="Q36" s="161"/>
      <c r="R36" s="161"/>
      <c r="S36" s="161"/>
      <c r="T36" s="161"/>
      <c r="U36" s="161"/>
    </row>
    <row r="37" spans="1:21" s="21" customFormat="1" ht="18" customHeight="1" x14ac:dyDescent="0.25">
      <c r="A37" s="39"/>
      <c r="B37" s="35">
        <f t="shared" si="0"/>
        <v>9</v>
      </c>
      <c r="C37" s="37"/>
      <c r="D37" s="37" t="s">
        <v>67</v>
      </c>
      <c r="E37" s="37"/>
      <c r="F37" s="37" t="s">
        <v>0</v>
      </c>
      <c r="G37" s="37" t="s">
        <v>96</v>
      </c>
      <c r="H37" s="38"/>
      <c r="I37" s="37"/>
      <c r="J37" s="35"/>
      <c r="K37" s="36"/>
      <c r="M37" s="161"/>
      <c r="N37" s="161"/>
      <c r="O37" s="161"/>
      <c r="P37" s="161"/>
      <c r="Q37" s="161"/>
      <c r="R37" s="161"/>
      <c r="S37" s="161"/>
      <c r="T37" s="161"/>
      <c r="U37" s="161"/>
    </row>
    <row r="38" spans="1:21" s="21" customFormat="1" ht="18" customHeight="1" x14ac:dyDescent="0.25">
      <c r="A38" s="39"/>
      <c r="B38" s="35">
        <f t="shared" si="0"/>
        <v>10</v>
      </c>
      <c r="C38" s="37"/>
      <c r="D38" s="37" t="s">
        <v>67</v>
      </c>
      <c r="E38" s="37"/>
      <c r="F38" s="37" t="s">
        <v>0</v>
      </c>
      <c r="G38" s="37" t="s">
        <v>97</v>
      </c>
      <c r="H38" s="38"/>
      <c r="I38" s="37"/>
      <c r="J38" s="44"/>
      <c r="K38" s="36"/>
      <c r="M38" s="161"/>
      <c r="N38" s="161"/>
      <c r="O38" s="161"/>
      <c r="P38" s="161"/>
      <c r="Q38" s="161"/>
      <c r="R38" s="161"/>
      <c r="S38" s="161"/>
      <c r="T38" s="161"/>
      <c r="U38" s="161"/>
    </row>
    <row r="39" spans="1:21" s="21" customFormat="1" ht="18" customHeight="1" x14ac:dyDescent="0.25">
      <c r="A39" s="39"/>
      <c r="B39" s="35">
        <f t="shared" si="0"/>
        <v>11</v>
      </c>
      <c r="C39" s="37"/>
      <c r="D39" s="37" t="s">
        <v>67</v>
      </c>
      <c r="E39" s="37"/>
      <c r="F39" s="37" t="s">
        <v>0</v>
      </c>
      <c r="G39" s="37" t="s">
        <v>98</v>
      </c>
      <c r="H39" s="38"/>
      <c r="I39" s="37"/>
      <c r="J39" s="35"/>
      <c r="K39" s="36"/>
      <c r="M39" s="161"/>
      <c r="N39" s="161"/>
      <c r="O39" s="161"/>
      <c r="P39" s="161"/>
      <c r="Q39" s="161"/>
      <c r="R39" s="161"/>
      <c r="S39" s="161"/>
      <c r="T39" s="161"/>
      <c r="U39" s="161"/>
    </row>
    <row r="40" spans="1:21" s="21" customFormat="1" ht="18" customHeight="1" thickBot="1" x14ac:dyDescent="0.3">
      <c r="A40" s="83"/>
      <c r="B40" s="35">
        <f t="shared" si="0"/>
        <v>12</v>
      </c>
      <c r="C40" s="54"/>
      <c r="D40" s="54" t="s">
        <v>67</v>
      </c>
      <c r="E40" s="54"/>
      <c r="F40" s="54" t="s">
        <v>0</v>
      </c>
      <c r="G40" s="54" t="s">
        <v>99</v>
      </c>
      <c r="H40" s="55"/>
      <c r="I40" s="54"/>
      <c r="J40" s="81"/>
      <c r="K40" s="84"/>
      <c r="M40" s="161"/>
      <c r="N40" s="161"/>
      <c r="O40" s="161"/>
      <c r="P40" s="161"/>
      <c r="Q40" s="161"/>
      <c r="R40" s="161"/>
      <c r="S40" s="161"/>
      <c r="T40" s="161"/>
      <c r="U40" s="161"/>
    </row>
    <row r="41" spans="1:21" s="21" customFormat="1" ht="18" customHeight="1" x14ac:dyDescent="0.25">
      <c r="A41" s="62">
        <v>4</v>
      </c>
      <c r="B41" s="63">
        <v>1</v>
      </c>
      <c r="C41" s="64" t="s">
        <v>345</v>
      </c>
      <c r="D41" s="64" t="s">
        <v>67</v>
      </c>
      <c r="E41" s="64" t="s">
        <v>345</v>
      </c>
      <c r="F41" s="64" t="s">
        <v>100</v>
      </c>
      <c r="G41" s="65" t="s">
        <v>101</v>
      </c>
      <c r="H41" s="65"/>
      <c r="I41" s="65"/>
      <c r="J41" s="79"/>
      <c r="K41" s="80"/>
      <c r="M41" s="161"/>
      <c r="N41" s="161"/>
      <c r="O41" s="161"/>
      <c r="P41" s="161"/>
      <c r="Q41" s="161"/>
      <c r="R41" s="161"/>
      <c r="S41" s="161"/>
      <c r="T41" s="161"/>
      <c r="U41" s="161"/>
    </row>
    <row r="42" spans="1:21" s="21" customFormat="1" ht="18" customHeight="1" x14ac:dyDescent="0.25">
      <c r="A42" s="41"/>
      <c r="B42" s="35">
        <f>B41+1</f>
        <v>2</v>
      </c>
      <c r="C42" s="37"/>
      <c r="D42" s="37" t="s">
        <v>67</v>
      </c>
      <c r="E42" s="37"/>
      <c r="F42" s="37" t="s">
        <v>100</v>
      </c>
      <c r="G42" s="38" t="s">
        <v>102</v>
      </c>
      <c r="H42" s="38"/>
      <c r="I42" s="38"/>
      <c r="J42" s="44"/>
      <c r="K42" s="36"/>
      <c r="M42" s="161"/>
      <c r="N42" s="161"/>
      <c r="O42" s="161"/>
      <c r="P42" s="161"/>
      <c r="Q42" s="161"/>
      <c r="R42" s="161"/>
      <c r="S42" s="161"/>
      <c r="T42" s="161"/>
      <c r="U42" s="161"/>
    </row>
    <row r="43" spans="1:21" s="21" customFormat="1" ht="18" customHeight="1" x14ac:dyDescent="0.25">
      <c r="A43" s="30"/>
      <c r="B43" s="35">
        <f>B42+1</f>
        <v>3</v>
      </c>
      <c r="C43" s="37"/>
      <c r="D43" s="37" t="s">
        <v>67</v>
      </c>
      <c r="E43" s="37"/>
      <c r="F43" s="37" t="s">
        <v>100</v>
      </c>
      <c r="G43" s="38" t="s">
        <v>103</v>
      </c>
      <c r="H43" s="38"/>
      <c r="I43" s="38"/>
      <c r="J43" s="44"/>
      <c r="K43" s="36"/>
      <c r="M43" s="161"/>
      <c r="N43" s="161"/>
      <c r="O43" s="161"/>
      <c r="P43" s="161"/>
      <c r="Q43" s="161"/>
      <c r="R43" s="161"/>
      <c r="S43" s="161"/>
      <c r="T43" s="161"/>
      <c r="U43" s="161"/>
    </row>
    <row r="44" spans="1:21" s="21" customFormat="1" ht="18" customHeight="1" x14ac:dyDescent="0.25">
      <c r="A44" s="30"/>
      <c r="B44" s="35">
        <f t="shared" ref="B44:B52" si="1">B43+1</f>
        <v>4</v>
      </c>
      <c r="C44" s="37"/>
      <c r="D44" s="37" t="s">
        <v>67</v>
      </c>
      <c r="E44" s="37"/>
      <c r="F44" s="37" t="s">
        <v>100</v>
      </c>
      <c r="G44" s="38" t="s">
        <v>104</v>
      </c>
      <c r="H44" s="38"/>
      <c r="I44" s="38"/>
      <c r="J44" s="44"/>
      <c r="K44" s="36"/>
      <c r="M44" s="161"/>
      <c r="N44" s="161"/>
      <c r="O44" s="161"/>
      <c r="P44" s="161"/>
      <c r="Q44" s="161"/>
      <c r="R44" s="161"/>
      <c r="S44" s="161"/>
      <c r="T44" s="161"/>
      <c r="U44" s="161"/>
    </row>
    <row r="45" spans="1:21" s="21" customFormat="1" ht="18" customHeight="1" x14ac:dyDescent="0.25">
      <c r="A45" s="30"/>
      <c r="B45" s="35">
        <f t="shared" si="1"/>
        <v>5</v>
      </c>
      <c r="C45" s="37"/>
      <c r="D45" s="37" t="s">
        <v>67</v>
      </c>
      <c r="E45" s="37"/>
      <c r="F45" s="37" t="s">
        <v>100</v>
      </c>
      <c r="G45" s="38" t="s">
        <v>105</v>
      </c>
      <c r="H45" s="38"/>
      <c r="I45" s="38"/>
      <c r="J45" s="44"/>
      <c r="K45" s="36"/>
      <c r="M45" s="161"/>
      <c r="N45" s="161"/>
      <c r="O45" s="161"/>
      <c r="P45" s="161"/>
      <c r="Q45" s="161"/>
      <c r="R45" s="161"/>
      <c r="S45" s="161"/>
      <c r="T45" s="161"/>
      <c r="U45" s="161"/>
    </row>
    <row r="46" spans="1:21" s="21" customFormat="1" ht="18" customHeight="1" x14ac:dyDescent="0.25">
      <c r="A46" s="30"/>
      <c r="B46" s="35">
        <f t="shared" si="1"/>
        <v>6</v>
      </c>
      <c r="C46" s="37"/>
      <c r="D46" s="37" t="s">
        <v>67</v>
      </c>
      <c r="E46" s="37"/>
      <c r="F46" s="37" t="s">
        <v>100</v>
      </c>
      <c r="G46" s="38" t="s">
        <v>106</v>
      </c>
      <c r="H46" s="38"/>
      <c r="I46" s="38"/>
      <c r="J46" s="44"/>
      <c r="K46" s="36"/>
      <c r="M46" s="161"/>
      <c r="N46" s="161"/>
      <c r="O46" s="161"/>
      <c r="P46" s="161"/>
      <c r="Q46" s="161"/>
      <c r="R46" s="161"/>
      <c r="S46" s="161"/>
      <c r="T46" s="161"/>
      <c r="U46" s="161"/>
    </row>
    <row r="47" spans="1:21" s="21" customFormat="1" ht="18" customHeight="1" x14ac:dyDescent="0.25">
      <c r="A47" s="30"/>
      <c r="B47" s="35">
        <f t="shared" si="1"/>
        <v>7</v>
      </c>
      <c r="C47" s="37"/>
      <c r="D47" s="37" t="s">
        <v>67</v>
      </c>
      <c r="E47" s="37"/>
      <c r="F47" s="37" t="s">
        <v>100</v>
      </c>
      <c r="G47" s="38" t="s">
        <v>107</v>
      </c>
      <c r="H47" s="38"/>
      <c r="I47" s="38"/>
      <c r="J47" s="44"/>
      <c r="K47" s="36"/>
      <c r="M47" s="161"/>
      <c r="N47" s="161"/>
      <c r="O47" s="161"/>
      <c r="P47" s="161"/>
      <c r="Q47" s="161"/>
      <c r="R47" s="161"/>
      <c r="S47" s="161"/>
      <c r="T47" s="161"/>
      <c r="U47" s="161"/>
    </row>
    <row r="48" spans="1:21" s="21" customFormat="1" ht="18" customHeight="1" x14ac:dyDescent="0.25">
      <c r="A48" s="30"/>
      <c r="B48" s="35">
        <f t="shared" si="1"/>
        <v>8</v>
      </c>
      <c r="C48" s="37"/>
      <c r="D48" s="37" t="s">
        <v>67</v>
      </c>
      <c r="E48" s="37"/>
      <c r="F48" s="37" t="s">
        <v>100</v>
      </c>
      <c r="G48" s="38" t="s">
        <v>766</v>
      </c>
      <c r="H48" s="38"/>
      <c r="I48" s="38"/>
      <c r="J48" s="44"/>
      <c r="K48" s="36"/>
      <c r="M48" s="161"/>
      <c r="N48" s="161"/>
      <c r="O48" s="161"/>
      <c r="P48" s="161"/>
      <c r="Q48" s="161"/>
      <c r="R48" s="161"/>
      <c r="S48" s="161"/>
      <c r="T48" s="161"/>
      <c r="U48" s="161"/>
    </row>
    <row r="49" spans="1:21" s="21" customFormat="1" ht="18" customHeight="1" x14ac:dyDescent="0.25">
      <c r="A49" s="30"/>
      <c r="B49" s="35">
        <f t="shared" si="1"/>
        <v>9</v>
      </c>
      <c r="C49" s="37"/>
      <c r="D49" s="37" t="s">
        <v>67</v>
      </c>
      <c r="E49" s="37"/>
      <c r="F49" s="37" t="s">
        <v>100</v>
      </c>
      <c r="G49" s="38" t="s">
        <v>108</v>
      </c>
      <c r="H49" s="38"/>
      <c r="I49" s="38"/>
      <c r="J49" s="44"/>
      <c r="K49" s="36"/>
      <c r="M49" s="161"/>
      <c r="N49" s="161"/>
      <c r="O49" s="161"/>
      <c r="P49" s="161"/>
      <c r="Q49" s="161"/>
      <c r="R49" s="161"/>
      <c r="S49" s="161"/>
      <c r="T49" s="161"/>
      <c r="U49" s="161"/>
    </row>
    <row r="50" spans="1:21" s="21" customFormat="1" ht="18" customHeight="1" x14ac:dyDescent="0.25">
      <c r="A50" s="30"/>
      <c r="B50" s="35">
        <f t="shared" si="1"/>
        <v>10</v>
      </c>
      <c r="C50" s="37"/>
      <c r="D50" s="37" t="s">
        <v>67</v>
      </c>
      <c r="E50" s="37"/>
      <c r="F50" s="37" t="s">
        <v>100</v>
      </c>
      <c r="G50" s="38" t="s">
        <v>109</v>
      </c>
      <c r="H50" s="38"/>
      <c r="I50" s="38"/>
      <c r="J50" s="44"/>
      <c r="K50" s="36"/>
      <c r="M50" s="161"/>
      <c r="N50" s="161"/>
      <c r="O50" s="161"/>
      <c r="P50" s="161"/>
      <c r="Q50" s="161"/>
      <c r="R50" s="161"/>
      <c r="S50" s="161"/>
      <c r="T50" s="161"/>
      <c r="U50" s="161"/>
    </row>
    <row r="51" spans="1:21" s="21" customFormat="1" ht="18" customHeight="1" x14ac:dyDescent="0.25">
      <c r="A51" s="30"/>
      <c r="B51" s="35">
        <f t="shared" si="1"/>
        <v>11</v>
      </c>
      <c r="C51" s="37"/>
      <c r="D51" s="37" t="s">
        <v>67</v>
      </c>
      <c r="E51" s="37"/>
      <c r="F51" s="37" t="s">
        <v>100</v>
      </c>
      <c r="G51" s="38" t="s">
        <v>110</v>
      </c>
      <c r="H51" s="38"/>
      <c r="I51" s="38"/>
      <c r="J51" s="44"/>
      <c r="K51" s="36"/>
      <c r="M51" s="161"/>
      <c r="N51" s="161"/>
      <c r="O51" s="161"/>
      <c r="P51" s="161"/>
      <c r="Q51" s="161"/>
      <c r="R51" s="161"/>
      <c r="S51" s="161"/>
      <c r="T51" s="161"/>
      <c r="U51" s="161"/>
    </row>
    <row r="52" spans="1:21" s="21" customFormat="1" ht="18" customHeight="1" thickBot="1" x14ac:dyDescent="0.3">
      <c r="A52" s="52"/>
      <c r="B52" s="35">
        <f t="shared" si="1"/>
        <v>12</v>
      </c>
      <c r="C52" s="54"/>
      <c r="D52" s="54" t="s">
        <v>67</v>
      </c>
      <c r="E52" s="54"/>
      <c r="F52" s="54" t="s">
        <v>100</v>
      </c>
      <c r="G52" s="55" t="s">
        <v>111</v>
      </c>
      <c r="H52" s="55"/>
      <c r="I52" s="55"/>
      <c r="J52" s="81"/>
      <c r="K52" s="82"/>
      <c r="M52" s="161"/>
      <c r="N52" s="161"/>
      <c r="O52" s="161"/>
      <c r="P52" s="161"/>
      <c r="Q52" s="161"/>
      <c r="R52" s="161"/>
      <c r="S52" s="161"/>
      <c r="T52" s="161"/>
      <c r="U52" s="161"/>
    </row>
    <row r="53" spans="1:21" s="21" customFormat="1" ht="18" customHeight="1" x14ac:dyDescent="0.25">
      <c r="A53" s="62">
        <v>5</v>
      </c>
      <c r="B53" s="63">
        <v>1</v>
      </c>
      <c r="C53" s="65" t="s">
        <v>1</v>
      </c>
      <c r="D53" s="64" t="s">
        <v>67</v>
      </c>
      <c r="E53" s="65" t="s">
        <v>1</v>
      </c>
      <c r="F53" s="65" t="s">
        <v>1</v>
      </c>
      <c r="G53" s="264" t="s">
        <v>144</v>
      </c>
      <c r="H53" s="75"/>
      <c r="I53" s="76"/>
      <c r="J53" s="68"/>
      <c r="K53" s="77"/>
      <c r="M53" s="161"/>
      <c r="N53" s="161"/>
      <c r="O53" s="161"/>
      <c r="P53" s="161"/>
      <c r="Q53" s="161"/>
      <c r="R53" s="161"/>
      <c r="S53" s="161"/>
      <c r="T53" s="161"/>
      <c r="U53" s="161"/>
    </row>
    <row r="54" spans="1:21" s="21" customFormat="1" ht="18" customHeight="1" x14ac:dyDescent="0.25">
      <c r="A54" s="30"/>
      <c r="B54" s="35">
        <v>2</v>
      </c>
      <c r="C54" s="37"/>
      <c r="D54" s="37" t="s">
        <v>67</v>
      </c>
      <c r="E54" s="37"/>
      <c r="F54" s="38" t="s">
        <v>1</v>
      </c>
      <c r="G54" s="21" t="s">
        <v>113</v>
      </c>
      <c r="H54" s="38"/>
      <c r="I54" s="34"/>
      <c r="J54" s="42"/>
      <c r="K54" s="46"/>
      <c r="M54" s="161"/>
      <c r="N54" s="161"/>
      <c r="O54" s="161"/>
      <c r="P54" s="161"/>
      <c r="Q54" s="161"/>
      <c r="R54" s="161"/>
      <c r="S54" s="161"/>
      <c r="T54" s="161"/>
      <c r="U54" s="161"/>
    </row>
    <row r="55" spans="1:21" s="21" customFormat="1" ht="18" customHeight="1" x14ac:dyDescent="0.25">
      <c r="A55" s="30"/>
      <c r="B55" s="35">
        <v>3</v>
      </c>
      <c r="C55" s="37"/>
      <c r="D55" s="37" t="s">
        <v>67</v>
      </c>
      <c r="E55" s="37"/>
      <c r="F55" s="38" t="s">
        <v>1</v>
      </c>
      <c r="G55" s="265" t="s">
        <v>114</v>
      </c>
      <c r="H55" s="38"/>
      <c r="I55" s="34"/>
      <c r="J55" s="42"/>
      <c r="K55" s="46"/>
      <c r="M55" s="161"/>
      <c r="N55" s="161"/>
      <c r="O55" s="161"/>
      <c r="P55" s="161"/>
      <c r="Q55" s="161"/>
      <c r="R55" s="161"/>
      <c r="S55" s="161"/>
      <c r="T55" s="161"/>
      <c r="U55" s="161"/>
    </row>
    <row r="56" spans="1:21" s="21" customFormat="1" ht="18" customHeight="1" x14ac:dyDescent="0.25">
      <c r="A56" s="30"/>
      <c r="B56" s="35">
        <v>4</v>
      </c>
      <c r="C56" s="37"/>
      <c r="D56" s="37" t="s">
        <v>67</v>
      </c>
      <c r="E56" s="37"/>
      <c r="F56" s="38" t="s">
        <v>1</v>
      </c>
      <c r="G56" s="265" t="s">
        <v>115</v>
      </c>
      <c r="H56" s="38"/>
      <c r="I56" s="34"/>
      <c r="J56" s="42"/>
      <c r="K56" s="46"/>
      <c r="M56" s="161"/>
      <c r="N56" s="161"/>
      <c r="O56" s="161"/>
      <c r="P56" s="161"/>
      <c r="Q56" s="161"/>
      <c r="R56" s="161"/>
      <c r="S56" s="161"/>
      <c r="T56" s="161"/>
      <c r="U56" s="161"/>
    </row>
    <row r="57" spans="1:21" s="21" customFormat="1" ht="18" customHeight="1" x14ac:dyDescent="0.25">
      <c r="A57" s="30"/>
      <c r="B57" s="35">
        <v>5</v>
      </c>
      <c r="C57" s="37"/>
      <c r="D57" s="37" t="s">
        <v>67</v>
      </c>
      <c r="E57" s="37"/>
      <c r="F57" s="38" t="s">
        <v>1</v>
      </c>
      <c r="G57" s="265" t="s">
        <v>116</v>
      </c>
      <c r="H57" s="38"/>
      <c r="I57" s="34"/>
      <c r="J57" s="42"/>
      <c r="K57" s="46"/>
      <c r="M57" s="161"/>
      <c r="N57" s="161"/>
      <c r="O57" s="161"/>
      <c r="P57" s="161"/>
      <c r="Q57" s="161"/>
      <c r="R57" s="161"/>
      <c r="S57" s="161"/>
      <c r="T57" s="161"/>
      <c r="U57" s="161"/>
    </row>
    <row r="58" spans="1:21" s="21" customFormat="1" ht="18" customHeight="1" x14ac:dyDescent="0.25">
      <c r="A58" s="30"/>
      <c r="B58" s="35">
        <v>6</v>
      </c>
      <c r="C58" s="37"/>
      <c r="D58" s="37" t="s">
        <v>67</v>
      </c>
      <c r="E58" s="37"/>
      <c r="F58" s="38" t="s">
        <v>1</v>
      </c>
      <c r="G58" s="265" t="s">
        <v>117</v>
      </c>
      <c r="H58" s="38"/>
      <c r="I58" s="34"/>
      <c r="J58" s="42"/>
      <c r="K58" s="46"/>
      <c r="M58" s="161"/>
      <c r="N58" s="161"/>
      <c r="O58" s="161"/>
      <c r="P58" s="161"/>
      <c r="Q58" s="161"/>
      <c r="R58" s="161"/>
      <c r="S58" s="161"/>
      <c r="T58" s="161"/>
      <c r="U58" s="161"/>
    </row>
    <row r="59" spans="1:21" s="21" customFormat="1" ht="18" customHeight="1" x14ac:dyDescent="0.25">
      <c r="A59" s="30"/>
      <c r="B59" s="35">
        <v>7</v>
      </c>
      <c r="C59" s="37"/>
      <c r="D59" s="37" t="s">
        <v>67</v>
      </c>
      <c r="E59" s="37"/>
      <c r="F59" s="38" t="s">
        <v>1</v>
      </c>
      <c r="G59" s="265" t="s">
        <v>118</v>
      </c>
      <c r="H59" s="38"/>
      <c r="I59" s="38"/>
      <c r="J59" s="42"/>
      <c r="K59" s="46"/>
      <c r="M59" s="161"/>
      <c r="N59" s="161"/>
      <c r="O59" s="161"/>
      <c r="P59" s="161"/>
      <c r="Q59" s="161"/>
      <c r="R59" s="161"/>
      <c r="S59" s="161"/>
      <c r="T59" s="161"/>
      <c r="U59" s="161"/>
    </row>
    <row r="60" spans="1:21" s="21" customFormat="1" ht="18" customHeight="1" x14ac:dyDescent="0.25">
      <c r="A60" s="30"/>
      <c r="B60" s="35">
        <v>8</v>
      </c>
      <c r="C60" s="37"/>
      <c r="D60" s="37" t="s">
        <v>67</v>
      </c>
      <c r="E60" s="37"/>
      <c r="F60" s="38" t="s">
        <v>1</v>
      </c>
      <c r="G60" s="21" t="s">
        <v>119</v>
      </c>
      <c r="H60" s="38"/>
      <c r="I60" s="34"/>
      <c r="J60" s="42"/>
      <c r="K60" s="46"/>
      <c r="M60" s="161"/>
      <c r="N60" s="161"/>
      <c r="O60" s="161"/>
      <c r="P60" s="161"/>
      <c r="Q60" s="161"/>
      <c r="R60" s="161"/>
      <c r="S60" s="161"/>
      <c r="T60" s="161"/>
      <c r="U60" s="161"/>
    </row>
    <row r="61" spans="1:21" s="21" customFormat="1" ht="18" customHeight="1" x14ac:dyDescent="0.25">
      <c r="A61" s="30"/>
      <c r="B61" s="35">
        <v>9</v>
      </c>
      <c r="C61" s="37"/>
      <c r="D61" s="37" t="s">
        <v>67</v>
      </c>
      <c r="E61" s="37"/>
      <c r="F61" s="38" t="s">
        <v>1</v>
      </c>
      <c r="G61" s="265" t="s">
        <v>120</v>
      </c>
      <c r="H61" s="265"/>
      <c r="I61" s="34"/>
      <c r="J61" s="42"/>
      <c r="K61" s="46"/>
      <c r="M61" s="161"/>
      <c r="N61" s="161"/>
      <c r="O61" s="161"/>
      <c r="P61" s="161"/>
      <c r="Q61" s="161"/>
      <c r="R61" s="161"/>
      <c r="S61" s="161"/>
      <c r="T61" s="161"/>
      <c r="U61" s="161"/>
    </row>
    <row r="62" spans="1:21" s="21" customFormat="1" ht="18" customHeight="1" x14ac:dyDescent="0.25">
      <c r="A62" s="30"/>
      <c r="B62" s="35">
        <v>10</v>
      </c>
      <c r="C62" s="37"/>
      <c r="D62" s="37" t="s">
        <v>67</v>
      </c>
      <c r="E62" s="37"/>
      <c r="F62" s="38" t="s">
        <v>1</v>
      </c>
      <c r="G62" s="265" t="s">
        <v>121</v>
      </c>
      <c r="H62" s="265"/>
      <c r="I62" s="34"/>
      <c r="J62" s="42"/>
      <c r="K62" s="46"/>
      <c r="M62" s="161"/>
      <c r="N62" s="161"/>
      <c r="O62" s="161"/>
      <c r="P62" s="161"/>
      <c r="Q62" s="161"/>
      <c r="R62" s="161"/>
      <c r="S62" s="161"/>
      <c r="T62" s="161"/>
      <c r="U62" s="161"/>
    </row>
    <row r="63" spans="1:21" s="21" customFormat="1" ht="18" customHeight="1" x14ac:dyDescent="0.25">
      <c r="A63" s="30"/>
      <c r="B63" s="35">
        <v>11</v>
      </c>
      <c r="C63" s="37"/>
      <c r="D63" s="37" t="s">
        <v>67</v>
      </c>
      <c r="E63" s="37"/>
      <c r="F63" s="38" t="s">
        <v>1</v>
      </c>
      <c r="G63" s="265" t="s">
        <v>112</v>
      </c>
      <c r="H63" s="38"/>
      <c r="I63" s="34"/>
      <c r="J63" s="42"/>
      <c r="K63" s="46"/>
      <c r="M63" s="161"/>
      <c r="N63" s="161"/>
      <c r="O63" s="161"/>
      <c r="P63" s="161"/>
      <c r="Q63" s="161"/>
      <c r="R63" s="161"/>
      <c r="S63" s="161"/>
      <c r="T63" s="161"/>
      <c r="U63" s="161"/>
    </row>
    <row r="64" spans="1:21" s="21" customFormat="1" ht="18" customHeight="1" thickBot="1" x14ac:dyDescent="0.3">
      <c r="A64" s="52"/>
      <c r="B64" s="35">
        <v>12</v>
      </c>
      <c r="C64" s="54"/>
      <c r="D64" s="54" t="s">
        <v>67</v>
      </c>
      <c r="E64" s="54"/>
      <c r="F64" s="55" t="s">
        <v>1</v>
      </c>
      <c r="G64" s="266" t="s">
        <v>767</v>
      </c>
      <c r="H64" s="55"/>
      <c r="I64" s="72"/>
      <c r="J64" s="73"/>
      <c r="K64" s="78"/>
      <c r="M64" s="161"/>
      <c r="N64" s="161"/>
      <c r="O64" s="161"/>
      <c r="P64" s="161"/>
      <c r="Q64" s="161"/>
      <c r="R64" s="161"/>
      <c r="S64" s="161"/>
      <c r="T64" s="161"/>
      <c r="U64" s="161"/>
    </row>
    <row r="65" spans="1:21" s="21" customFormat="1" ht="18" customHeight="1" x14ac:dyDescent="0.25">
      <c r="A65" s="62">
        <v>6</v>
      </c>
      <c r="B65" s="63">
        <v>1</v>
      </c>
      <c r="C65" s="65" t="s">
        <v>126</v>
      </c>
      <c r="D65" s="64" t="s">
        <v>768</v>
      </c>
      <c r="E65" s="65" t="s">
        <v>126</v>
      </c>
      <c r="F65" s="65" t="s">
        <v>404</v>
      </c>
      <c r="G65" s="66" t="s">
        <v>127</v>
      </c>
      <c r="H65" s="65"/>
      <c r="I65" s="67"/>
      <c r="J65" s="68"/>
      <c r="K65" s="69"/>
      <c r="M65" s="161"/>
      <c r="N65" s="161"/>
      <c r="O65" s="161"/>
      <c r="P65" s="161"/>
      <c r="Q65" s="161"/>
      <c r="R65" s="161"/>
      <c r="S65" s="161"/>
      <c r="T65" s="161"/>
      <c r="U65" s="161"/>
    </row>
    <row r="66" spans="1:21" s="21" customFormat="1" ht="18" customHeight="1" x14ac:dyDescent="0.25">
      <c r="A66" s="30"/>
      <c r="B66" s="35">
        <v>2</v>
      </c>
      <c r="C66" s="37"/>
      <c r="D66" s="37" t="s">
        <v>768</v>
      </c>
      <c r="E66" s="37"/>
      <c r="F66" s="38" t="s">
        <v>404</v>
      </c>
      <c r="G66" s="38" t="s">
        <v>104</v>
      </c>
      <c r="H66" s="38"/>
      <c r="I66" s="47"/>
      <c r="J66" s="48"/>
      <c r="K66" s="49"/>
      <c r="M66" s="161"/>
      <c r="N66" s="161"/>
      <c r="O66" s="161"/>
      <c r="P66" s="161"/>
      <c r="Q66" s="161"/>
      <c r="R66" s="161"/>
      <c r="S66" s="161"/>
      <c r="T66" s="161"/>
      <c r="U66" s="161"/>
    </row>
    <row r="67" spans="1:21" s="21" customFormat="1" ht="18" customHeight="1" x14ac:dyDescent="0.25">
      <c r="A67" s="30"/>
      <c r="B67" s="35">
        <v>3</v>
      </c>
      <c r="C67" s="37"/>
      <c r="D67" s="37" t="s">
        <v>768</v>
      </c>
      <c r="E67" s="37"/>
      <c r="F67" s="38" t="s">
        <v>404</v>
      </c>
      <c r="G67" s="38" t="s">
        <v>129</v>
      </c>
      <c r="H67" s="50"/>
      <c r="I67" s="47"/>
      <c r="J67" s="51"/>
      <c r="K67" s="49"/>
      <c r="M67" s="161"/>
      <c r="N67" s="161"/>
      <c r="O67" s="161"/>
      <c r="P67" s="161"/>
      <c r="Q67" s="161"/>
      <c r="R67" s="161"/>
      <c r="S67" s="161"/>
      <c r="T67" s="161"/>
      <c r="U67" s="161"/>
    </row>
    <row r="68" spans="1:21" s="21" customFormat="1" ht="18" customHeight="1" x14ac:dyDescent="0.25">
      <c r="A68" s="30"/>
      <c r="B68" s="35">
        <v>4</v>
      </c>
      <c r="C68" s="37"/>
      <c r="D68" s="37" t="s">
        <v>768</v>
      </c>
      <c r="E68" s="37"/>
      <c r="F68" s="38" t="s">
        <v>404</v>
      </c>
      <c r="G68" s="38" t="s">
        <v>400</v>
      </c>
      <c r="H68" s="50"/>
      <c r="I68" s="47"/>
      <c r="J68" s="51"/>
      <c r="K68" s="49"/>
      <c r="M68" s="161"/>
      <c r="N68" s="161"/>
      <c r="O68" s="161"/>
      <c r="P68" s="161"/>
      <c r="Q68" s="161"/>
      <c r="R68" s="161"/>
      <c r="S68" s="161"/>
      <c r="T68" s="161"/>
      <c r="U68" s="161"/>
    </row>
    <row r="69" spans="1:21" s="21" customFormat="1" ht="18" customHeight="1" x14ac:dyDescent="0.25">
      <c r="A69" s="30"/>
      <c r="B69" s="35">
        <v>5</v>
      </c>
      <c r="C69" s="37"/>
      <c r="D69" s="37" t="s">
        <v>768</v>
      </c>
      <c r="E69" s="37"/>
      <c r="F69" s="38" t="s">
        <v>404</v>
      </c>
      <c r="G69" s="38" t="s">
        <v>130</v>
      </c>
      <c r="H69" s="50"/>
      <c r="I69" s="47"/>
      <c r="J69" s="51"/>
      <c r="K69" s="49"/>
      <c r="M69" s="161"/>
      <c r="N69" s="161"/>
      <c r="O69" s="161"/>
      <c r="P69" s="161"/>
      <c r="Q69" s="161"/>
      <c r="R69" s="161"/>
      <c r="S69" s="161"/>
      <c r="T69" s="161"/>
      <c r="U69" s="161"/>
    </row>
    <row r="70" spans="1:21" s="21" customFormat="1" ht="18" customHeight="1" x14ac:dyDescent="0.25">
      <c r="A70" s="30"/>
      <c r="B70" s="35">
        <v>6</v>
      </c>
      <c r="C70" s="37"/>
      <c r="D70" s="37" t="s">
        <v>768</v>
      </c>
      <c r="E70" s="37"/>
      <c r="F70" s="38" t="s">
        <v>404</v>
      </c>
      <c r="G70" s="38" t="s">
        <v>131</v>
      </c>
      <c r="H70" s="38"/>
      <c r="I70" s="47"/>
      <c r="J70" s="51"/>
      <c r="K70" s="49"/>
      <c r="M70" s="161"/>
      <c r="N70" s="161"/>
      <c r="O70" s="161"/>
      <c r="P70" s="161"/>
      <c r="Q70" s="161"/>
      <c r="R70" s="161"/>
      <c r="S70" s="161"/>
      <c r="T70" s="161"/>
      <c r="U70" s="161"/>
    </row>
    <row r="71" spans="1:21" s="21" customFormat="1" ht="18" customHeight="1" x14ac:dyDescent="0.25">
      <c r="A71" s="30"/>
      <c r="B71" s="35">
        <v>7</v>
      </c>
      <c r="C71" s="37"/>
      <c r="D71" s="37" t="s">
        <v>768</v>
      </c>
      <c r="E71" s="37"/>
      <c r="F71" s="38" t="s">
        <v>404</v>
      </c>
      <c r="G71" s="38" t="s">
        <v>134</v>
      </c>
      <c r="H71" s="38"/>
      <c r="I71" s="47"/>
      <c r="J71" s="51"/>
      <c r="K71" s="49"/>
      <c r="M71" s="161"/>
      <c r="N71" s="161"/>
      <c r="O71" s="161"/>
      <c r="P71" s="161"/>
      <c r="Q71" s="161"/>
      <c r="R71" s="161"/>
      <c r="S71" s="161"/>
      <c r="T71" s="161"/>
      <c r="U71" s="161"/>
    </row>
    <row r="72" spans="1:21" s="21" customFormat="1" ht="18" customHeight="1" x14ac:dyDescent="0.25">
      <c r="A72" s="30"/>
      <c r="B72" s="35">
        <v>8</v>
      </c>
      <c r="C72" s="37"/>
      <c r="D72" s="37" t="s">
        <v>768</v>
      </c>
      <c r="E72" s="37"/>
      <c r="F72" s="38" t="s">
        <v>404</v>
      </c>
      <c r="G72" s="38" t="s">
        <v>133</v>
      </c>
      <c r="H72" s="38"/>
      <c r="I72" s="47"/>
      <c r="J72" s="51"/>
      <c r="K72" s="49"/>
      <c r="M72" s="161"/>
      <c r="N72" s="161"/>
      <c r="O72" s="161"/>
      <c r="P72" s="161"/>
      <c r="Q72" s="161"/>
      <c r="R72" s="161"/>
      <c r="S72" s="161"/>
      <c r="T72" s="161"/>
      <c r="U72" s="161"/>
    </row>
    <row r="73" spans="1:21" s="21" customFormat="1" ht="18" customHeight="1" x14ac:dyDescent="0.25">
      <c r="A73" s="30"/>
      <c r="B73" s="35">
        <v>9</v>
      </c>
      <c r="C73" s="37"/>
      <c r="D73" s="37" t="s">
        <v>768</v>
      </c>
      <c r="E73" s="37"/>
      <c r="F73" s="38" t="s">
        <v>404</v>
      </c>
      <c r="G73" s="38" t="s">
        <v>132</v>
      </c>
      <c r="H73" s="38"/>
      <c r="I73" s="47"/>
      <c r="J73" s="51"/>
      <c r="K73" s="49"/>
      <c r="M73" s="161"/>
      <c r="N73" s="161"/>
      <c r="O73" s="161"/>
      <c r="P73" s="161"/>
      <c r="Q73" s="161"/>
      <c r="R73" s="161"/>
      <c r="S73" s="161"/>
      <c r="T73" s="161"/>
      <c r="U73" s="161"/>
    </row>
    <row r="74" spans="1:21" s="21" customFormat="1" ht="18" customHeight="1" x14ac:dyDescent="0.25">
      <c r="A74" s="30"/>
      <c r="B74" s="35">
        <v>10</v>
      </c>
      <c r="C74" s="37"/>
      <c r="D74" s="37" t="s">
        <v>768</v>
      </c>
      <c r="E74" s="37"/>
      <c r="F74" s="38" t="s">
        <v>404</v>
      </c>
      <c r="G74" s="38" t="s">
        <v>401</v>
      </c>
      <c r="H74" s="38"/>
      <c r="I74" s="47"/>
      <c r="J74" s="51"/>
      <c r="K74" s="49"/>
      <c r="M74" s="161"/>
      <c r="N74" s="161"/>
      <c r="O74" s="161"/>
      <c r="P74" s="161"/>
      <c r="Q74" s="161"/>
      <c r="R74" s="161"/>
      <c r="S74" s="161"/>
      <c r="T74" s="161"/>
      <c r="U74" s="161"/>
    </row>
    <row r="75" spans="1:21" s="21" customFormat="1" ht="18" customHeight="1" x14ac:dyDescent="0.25">
      <c r="A75" s="30"/>
      <c r="B75" s="35">
        <v>11</v>
      </c>
      <c r="C75" s="37"/>
      <c r="D75" s="37" t="s">
        <v>768</v>
      </c>
      <c r="E75" s="37"/>
      <c r="F75" s="38" t="s">
        <v>404</v>
      </c>
      <c r="G75" s="50" t="s">
        <v>402</v>
      </c>
      <c r="H75" s="50"/>
      <c r="I75" s="47"/>
      <c r="J75" s="51"/>
      <c r="K75" s="49"/>
      <c r="M75" s="161"/>
      <c r="N75" s="161"/>
      <c r="O75" s="161"/>
      <c r="P75" s="161"/>
      <c r="Q75" s="161"/>
      <c r="R75" s="161"/>
      <c r="S75" s="161"/>
      <c r="T75" s="161"/>
      <c r="U75" s="161"/>
    </row>
    <row r="76" spans="1:21" s="21" customFormat="1" ht="18" customHeight="1" thickBot="1" x14ac:dyDescent="0.3">
      <c r="A76" s="52"/>
      <c r="B76" s="35">
        <v>12</v>
      </c>
      <c r="C76" s="54"/>
      <c r="D76" s="54" t="s">
        <v>768</v>
      </c>
      <c r="E76" s="54"/>
      <c r="F76" s="55" t="s">
        <v>404</v>
      </c>
      <c r="G76" s="55" t="s">
        <v>403</v>
      </c>
      <c r="H76" s="55"/>
      <c r="I76" s="56"/>
      <c r="J76" s="57"/>
      <c r="K76" s="58"/>
      <c r="M76" s="161"/>
      <c r="N76" s="161"/>
      <c r="O76" s="161"/>
      <c r="P76" s="161"/>
      <c r="Q76" s="161"/>
      <c r="R76" s="161"/>
      <c r="S76" s="161"/>
      <c r="T76" s="161"/>
      <c r="U76" s="161"/>
    </row>
    <row r="77" spans="1:21" s="21" customFormat="1" ht="18" customHeight="1" x14ac:dyDescent="0.25">
      <c r="A77" s="62">
        <v>7</v>
      </c>
      <c r="B77" s="63">
        <v>1</v>
      </c>
      <c r="C77" s="65" t="s">
        <v>769</v>
      </c>
      <c r="D77" s="64" t="s">
        <v>768</v>
      </c>
      <c r="E77" s="65" t="s">
        <v>769</v>
      </c>
      <c r="F77" s="65"/>
      <c r="G77" s="66"/>
      <c r="H77" s="65"/>
      <c r="I77" s="67"/>
      <c r="J77" s="68"/>
      <c r="K77" s="69"/>
      <c r="M77" s="161"/>
      <c r="N77" s="161"/>
      <c r="O77" s="161"/>
      <c r="P77" s="161"/>
      <c r="Q77" s="161"/>
      <c r="R77" s="161"/>
      <c r="S77" s="161"/>
      <c r="T77" s="161"/>
      <c r="U77" s="161"/>
    </row>
    <row r="78" spans="1:21" s="21" customFormat="1" ht="18" customHeight="1" x14ac:dyDescent="0.25">
      <c r="A78" s="30"/>
      <c r="B78" s="35">
        <v>2</v>
      </c>
      <c r="C78" s="37"/>
      <c r="D78" s="37" t="s">
        <v>768</v>
      </c>
      <c r="E78" s="37"/>
      <c r="F78" s="38"/>
      <c r="G78" s="38"/>
      <c r="H78" s="38"/>
      <c r="I78" s="47"/>
      <c r="J78" s="48"/>
      <c r="K78" s="49"/>
      <c r="M78" s="161"/>
      <c r="N78" s="161"/>
      <c r="O78" s="161"/>
      <c r="P78" s="161"/>
      <c r="Q78" s="161"/>
      <c r="R78" s="161"/>
      <c r="S78" s="161"/>
      <c r="T78" s="161"/>
      <c r="U78" s="161"/>
    </row>
    <row r="79" spans="1:21" s="21" customFormat="1" ht="18" customHeight="1" x14ac:dyDescent="0.25">
      <c r="A79" s="30"/>
      <c r="B79" s="35">
        <v>3</v>
      </c>
      <c r="C79" s="37"/>
      <c r="D79" s="37" t="s">
        <v>768</v>
      </c>
      <c r="E79" s="37"/>
      <c r="F79" s="38"/>
      <c r="G79" s="38"/>
      <c r="H79" s="50"/>
      <c r="I79" s="47"/>
      <c r="J79" s="51"/>
      <c r="K79" s="49"/>
      <c r="M79" s="161"/>
      <c r="N79" s="161"/>
      <c r="O79" s="161"/>
      <c r="P79" s="161"/>
      <c r="Q79" s="161"/>
      <c r="R79" s="161"/>
      <c r="S79" s="161"/>
      <c r="T79" s="161"/>
      <c r="U79" s="161"/>
    </row>
    <row r="80" spans="1:21" s="21" customFormat="1" ht="18" customHeight="1" x14ac:dyDescent="0.25">
      <c r="A80" s="30"/>
      <c r="B80" s="35">
        <v>4</v>
      </c>
      <c r="C80" s="37"/>
      <c r="D80" s="37" t="s">
        <v>768</v>
      </c>
      <c r="E80" s="37"/>
      <c r="F80" s="38"/>
      <c r="G80" s="38"/>
      <c r="H80" s="50"/>
      <c r="I80" s="47"/>
      <c r="J80" s="51"/>
      <c r="K80" s="49"/>
      <c r="M80" s="161"/>
      <c r="N80" s="161"/>
      <c r="O80" s="161"/>
      <c r="P80" s="161"/>
      <c r="Q80" s="161"/>
      <c r="R80" s="161"/>
      <c r="S80" s="161"/>
      <c r="T80" s="161"/>
      <c r="U80" s="161"/>
    </row>
    <row r="81" spans="1:21" s="22" customFormat="1" ht="18" customHeight="1" x14ac:dyDescent="0.25">
      <c r="A81" s="30"/>
      <c r="B81" s="35">
        <v>5</v>
      </c>
      <c r="C81" s="37"/>
      <c r="D81" s="37" t="s">
        <v>768</v>
      </c>
      <c r="E81" s="37"/>
      <c r="F81" s="38"/>
      <c r="G81" s="38"/>
      <c r="H81" s="50"/>
      <c r="I81" s="47"/>
      <c r="J81" s="51"/>
      <c r="K81" s="49"/>
      <c r="M81" s="162"/>
      <c r="N81" s="162"/>
      <c r="O81" s="162"/>
      <c r="P81" s="162"/>
      <c r="Q81" s="162"/>
      <c r="R81" s="162"/>
      <c r="S81" s="162"/>
      <c r="T81" s="162"/>
      <c r="U81" s="162"/>
    </row>
    <row r="82" spans="1:21" s="21" customFormat="1" ht="18" customHeight="1" x14ac:dyDescent="0.25">
      <c r="A82" s="30"/>
      <c r="B82" s="35">
        <v>6</v>
      </c>
      <c r="C82" s="37"/>
      <c r="D82" s="37" t="s">
        <v>768</v>
      </c>
      <c r="E82" s="37"/>
      <c r="F82" s="38"/>
      <c r="G82" s="38"/>
      <c r="H82" s="38"/>
      <c r="I82" s="47"/>
      <c r="J82" s="51"/>
      <c r="K82" s="49"/>
      <c r="M82" s="161"/>
      <c r="N82" s="161"/>
      <c r="O82" s="161"/>
      <c r="P82" s="161"/>
      <c r="Q82" s="161"/>
      <c r="R82" s="161"/>
      <c r="S82" s="161"/>
      <c r="T82" s="161"/>
      <c r="U82" s="161"/>
    </row>
    <row r="83" spans="1:21" s="21" customFormat="1" ht="18" customHeight="1" x14ac:dyDescent="0.25">
      <c r="A83" s="30"/>
      <c r="B83" s="35">
        <v>7</v>
      </c>
      <c r="C83" s="37"/>
      <c r="D83" s="37" t="s">
        <v>768</v>
      </c>
      <c r="E83" s="37"/>
      <c r="F83" s="38"/>
      <c r="G83" s="38"/>
      <c r="H83" s="38"/>
      <c r="I83" s="47"/>
      <c r="J83" s="51"/>
      <c r="K83" s="49"/>
      <c r="M83" s="161"/>
      <c r="N83" s="161"/>
      <c r="O83" s="161"/>
      <c r="P83" s="161"/>
      <c r="Q83" s="161"/>
      <c r="R83" s="161"/>
      <c r="S83" s="161"/>
      <c r="T83" s="161"/>
      <c r="U83" s="161"/>
    </row>
    <row r="84" spans="1:21" s="21" customFormat="1" ht="18" customHeight="1" x14ac:dyDescent="0.25">
      <c r="A84" s="30"/>
      <c r="B84" s="35">
        <v>8</v>
      </c>
      <c r="C84" s="37"/>
      <c r="D84" s="37" t="s">
        <v>768</v>
      </c>
      <c r="E84" s="37"/>
      <c r="F84" s="38"/>
      <c r="G84" s="38"/>
      <c r="H84" s="38"/>
      <c r="I84" s="47"/>
      <c r="J84" s="51"/>
      <c r="K84" s="49"/>
      <c r="M84" s="161"/>
      <c r="N84" s="161"/>
      <c r="O84" s="161"/>
      <c r="P84" s="161"/>
      <c r="Q84" s="161"/>
      <c r="R84" s="161"/>
      <c r="S84" s="161"/>
      <c r="T84" s="161"/>
      <c r="U84" s="161"/>
    </row>
    <row r="85" spans="1:21" s="21" customFormat="1" ht="18" customHeight="1" x14ac:dyDescent="0.25">
      <c r="A85" s="30"/>
      <c r="B85" s="35">
        <v>9</v>
      </c>
      <c r="C85" s="37"/>
      <c r="D85" s="37" t="s">
        <v>768</v>
      </c>
      <c r="E85" s="37"/>
      <c r="F85" s="38"/>
      <c r="G85" s="38"/>
      <c r="H85" s="38"/>
      <c r="I85" s="47"/>
      <c r="J85" s="51"/>
      <c r="K85" s="49"/>
      <c r="M85" s="161"/>
      <c r="N85" s="161"/>
      <c r="O85" s="161"/>
      <c r="P85" s="161"/>
      <c r="Q85" s="161"/>
      <c r="R85" s="161"/>
      <c r="S85" s="161"/>
      <c r="T85" s="161"/>
      <c r="U85" s="161"/>
    </row>
    <row r="86" spans="1:21" s="21" customFormat="1" ht="18" customHeight="1" x14ac:dyDescent="0.25">
      <c r="A86" s="30"/>
      <c r="B86" s="35">
        <v>10</v>
      </c>
      <c r="C86" s="37"/>
      <c r="D86" s="37" t="s">
        <v>768</v>
      </c>
      <c r="E86" s="37"/>
      <c r="F86" s="38"/>
      <c r="G86" s="38"/>
      <c r="H86" s="38"/>
      <c r="I86" s="47"/>
      <c r="J86" s="51"/>
      <c r="K86" s="49"/>
      <c r="M86" s="161"/>
      <c r="N86" s="161"/>
      <c r="O86" s="161"/>
      <c r="P86" s="161"/>
      <c r="Q86" s="161"/>
      <c r="R86" s="161"/>
      <c r="S86" s="161"/>
      <c r="T86" s="161"/>
      <c r="U86" s="161"/>
    </row>
    <row r="87" spans="1:21" s="21" customFormat="1" ht="18" customHeight="1" x14ac:dyDescent="0.25">
      <c r="A87" s="59"/>
      <c r="B87" s="60">
        <v>11</v>
      </c>
      <c r="C87" s="70"/>
      <c r="D87" s="37" t="s">
        <v>768</v>
      </c>
      <c r="E87" s="70"/>
      <c r="F87" s="71"/>
      <c r="G87" s="71"/>
      <c r="H87" s="71"/>
      <c r="I87" s="165"/>
      <c r="J87" s="166"/>
      <c r="K87" s="167"/>
      <c r="M87" s="161"/>
      <c r="N87" s="161"/>
      <c r="O87" s="161"/>
      <c r="P87" s="161"/>
      <c r="Q87" s="161"/>
      <c r="R87" s="161"/>
      <c r="S87" s="161"/>
      <c r="T87" s="161"/>
      <c r="U87" s="161"/>
    </row>
    <row r="88" spans="1:21" s="21" customFormat="1" ht="18" customHeight="1" thickBot="1" x14ac:dyDescent="0.3">
      <c r="A88" s="52"/>
      <c r="B88" s="53">
        <v>12</v>
      </c>
      <c r="C88" s="54"/>
      <c r="D88" s="54" t="s">
        <v>768</v>
      </c>
      <c r="E88" s="54"/>
      <c r="F88" s="55"/>
      <c r="G88" s="55"/>
      <c r="H88" s="55"/>
      <c r="I88" s="56"/>
      <c r="J88" s="57"/>
      <c r="K88" s="58"/>
      <c r="M88" s="161"/>
      <c r="N88" s="161"/>
      <c r="O88" s="161"/>
      <c r="P88" s="161"/>
      <c r="Q88" s="161"/>
      <c r="R88" s="161"/>
      <c r="S88" s="161"/>
      <c r="T88" s="161"/>
      <c r="U88" s="161"/>
    </row>
    <row r="89" spans="1:21" s="21" customFormat="1" ht="18" customHeight="1" x14ac:dyDescent="0.25">
      <c r="A89" s="62">
        <v>8</v>
      </c>
      <c r="B89" s="63">
        <v>1</v>
      </c>
      <c r="C89" s="65" t="s">
        <v>770</v>
      </c>
      <c r="D89" s="64" t="s">
        <v>768</v>
      </c>
      <c r="E89" s="65" t="s">
        <v>770</v>
      </c>
      <c r="F89" s="65"/>
      <c r="G89" s="66"/>
      <c r="H89" s="65"/>
      <c r="I89" s="67"/>
      <c r="J89" s="68"/>
      <c r="K89" s="69"/>
      <c r="M89" s="161"/>
      <c r="N89" s="161"/>
      <c r="O89" s="161"/>
      <c r="P89" s="161"/>
      <c r="Q89" s="161"/>
      <c r="R89" s="161"/>
      <c r="S89" s="161"/>
      <c r="T89" s="161"/>
      <c r="U89" s="161"/>
    </row>
    <row r="90" spans="1:21" s="21" customFormat="1" ht="18" customHeight="1" x14ac:dyDescent="0.25">
      <c r="A90" s="30"/>
      <c r="B90" s="35">
        <v>2</v>
      </c>
      <c r="C90" s="37"/>
      <c r="D90" s="37" t="s">
        <v>768</v>
      </c>
      <c r="E90" s="37"/>
      <c r="F90" s="38"/>
      <c r="G90" s="38"/>
      <c r="H90" s="38"/>
      <c r="I90" s="47"/>
      <c r="J90" s="48"/>
      <c r="K90" s="49"/>
      <c r="M90" s="161"/>
      <c r="N90" s="161"/>
      <c r="O90" s="161"/>
      <c r="P90" s="161"/>
      <c r="Q90" s="161"/>
      <c r="R90" s="161"/>
      <c r="S90" s="161"/>
      <c r="T90" s="161"/>
      <c r="U90" s="161"/>
    </row>
    <row r="91" spans="1:21" s="21" customFormat="1" ht="18" customHeight="1" x14ac:dyDescent="0.25">
      <c r="A91" s="30"/>
      <c r="B91" s="35">
        <v>3</v>
      </c>
      <c r="C91" s="37"/>
      <c r="D91" s="37" t="s">
        <v>768</v>
      </c>
      <c r="E91" s="37"/>
      <c r="F91" s="38"/>
      <c r="G91" s="38"/>
      <c r="H91" s="50"/>
      <c r="I91" s="47"/>
      <c r="J91" s="51"/>
      <c r="K91" s="49"/>
      <c r="M91" s="161"/>
      <c r="N91" s="161"/>
      <c r="O91" s="161"/>
      <c r="P91" s="161"/>
      <c r="Q91" s="161"/>
      <c r="R91" s="161"/>
      <c r="S91" s="161"/>
      <c r="T91" s="161"/>
      <c r="U91" s="161"/>
    </row>
    <row r="92" spans="1:21" s="21" customFormat="1" ht="18" customHeight="1" x14ac:dyDescent="0.25">
      <c r="A92" s="30"/>
      <c r="B92" s="35">
        <v>4</v>
      </c>
      <c r="C92" s="37"/>
      <c r="D92" s="37" t="s">
        <v>768</v>
      </c>
      <c r="E92" s="37"/>
      <c r="F92" s="38"/>
      <c r="G92" s="38"/>
      <c r="H92" s="50"/>
      <c r="I92" s="47"/>
      <c r="J92" s="51"/>
      <c r="K92" s="49"/>
      <c r="M92" s="161"/>
      <c r="N92" s="161"/>
      <c r="O92" s="161"/>
      <c r="P92" s="161"/>
      <c r="Q92" s="161"/>
      <c r="R92" s="161"/>
      <c r="S92" s="161"/>
      <c r="T92" s="161"/>
      <c r="U92" s="161"/>
    </row>
    <row r="93" spans="1:21" ht="18" customHeight="1" x14ac:dyDescent="0.25">
      <c r="A93" s="30"/>
      <c r="B93" s="35">
        <v>5</v>
      </c>
      <c r="C93" s="37"/>
      <c r="D93" s="37" t="s">
        <v>768</v>
      </c>
      <c r="E93" s="37"/>
      <c r="F93" s="38"/>
      <c r="G93" s="38"/>
      <c r="H93" s="50"/>
      <c r="I93" s="47"/>
      <c r="J93" s="51"/>
      <c r="K93" s="49"/>
    </row>
    <row r="94" spans="1:21" ht="18" customHeight="1" x14ac:dyDescent="0.25">
      <c r="A94" s="30"/>
      <c r="B94" s="35">
        <v>6</v>
      </c>
      <c r="C94" s="37"/>
      <c r="D94" s="37" t="s">
        <v>768</v>
      </c>
      <c r="E94" s="37"/>
      <c r="F94" s="38"/>
      <c r="G94" s="38"/>
      <c r="H94" s="38"/>
      <c r="I94" s="47"/>
      <c r="J94" s="51"/>
      <c r="K94" s="49"/>
    </row>
    <row r="95" spans="1:21" ht="18" customHeight="1" x14ac:dyDescent="0.25">
      <c r="A95" s="30"/>
      <c r="B95" s="35">
        <v>7</v>
      </c>
      <c r="C95" s="37"/>
      <c r="D95" s="37" t="s">
        <v>768</v>
      </c>
      <c r="E95" s="37"/>
      <c r="F95" s="38"/>
      <c r="G95" s="38"/>
      <c r="H95" s="38"/>
      <c r="I95" s="47"/>
      <c r="J95" s="51"/>
      <c r="K95" s="49"/>
    </row>
    <row r="96" spans="1:21" ht="18" customHeight="1" x14ac:dyDescent="0.25">
      <c r="A96" s="30"/>
      <c r="B96" s="35">
        <v>8</v>
      </c>
      <c r="C96" s="37"/>
      <c r="D96" s="37" t="s">
        <v>768</v>
      </c>
      <c r="E96" s="37"/>
      <c r="F96" s="38"/>
      <c r="G96" s="38"/>
      <c r="H96" s="38"/>
      <c r="I96" s="47"/>
      <c r="J96" s="51"/>
      <c r="K96" s="49"/>
    </row>
    <row r="97" spans="1:11" ht="18" customHeight="1" x14ac:dyDescent="0.25">
      <c r="A97" s="30"/>
      <c r="B97" s="35">
        <v>9</v>
      </c>
      <c r="C97" s="37"/>
      <c r="D97" s="37" t="s">
        <v>768</v>
      </c>
      <c r="E97" s="37"/>
      <c r="F97" s="38"/>
      <c r="G97" s="38"/>
      <c r="H97" s="38"/>
      <c r="I97" s="47"/>
      <c r="J97" s="51"/>
      <c r="K97" s="49"/>
    </row>
    <row r="98" spans="1:11" ht="18" customHeight="1" x14ac:dyDescent="0.25">
      <c r="A98" s="30"/>
      <c r="B98" s="35">
        <v>10</v>
      </c>
      <c r="C98" s="37"/>
      <c r="D98" s="37" t="s">
        <v>768</v>
      </c>
      <c r="E98" s="37"/>
      <c r="F98" s="38"/>
      <c r="G98" s="38"/>
      <c r="H98" s="38"/>
      <c r="I98" s="47"/>
      <c r="J98" s="51"/>
      <c r="K98" s="49"/>
    </row>
    <row r="99" spans="1:11" ht="18" customHeight="1" x14ac:dyDescent="0.25">
      <c r="A99" s="59"/>
      <c r="B99" s="60">
        <v>11</v>
      </c>
      <c r="C99" s="70"/>
      <c r="D99" s="37" t="s">
        <v>768</v>
      </c>
      <c r="E99" s="70"/>
      <c r="F99" s="71"/>
      <c r="G99" s="71"/>
      <c r="H99" s="71"/>
      <c r="I99" s="165"/>
      <c r="J99" s="166"/>
      <c r="K99" s="167"/>
    </row>
    <row r="100" spans="1:11" ht="18" customHeight="1" thickBot="1" x14ac:dyDescent="0.3">
      <c r="A100" s="52"/>
      <c r="B100" s="53">
        <v>12</v>
      </c>
      <c r="C100" s="54"/>
      <c r="D100" s="54" t="s">
        <v>768</v>
      </c>
      <c r="E100" s="54"/>
      <c r="F100" s="55"/>
      <c r="G100" s="55"/>
      <c r="H100" s="55"/>
      <c r="I100" s="56"/>
      <c r="J100" s="57"/>
      <c r="K100" s="58"/>
    </row>
    <row r="101" spans="1:11" ht="18" customHeight="1" thickBot="1" x14ac:dyDescent="0.3">
      <c r="A101" s="52"/>
      <c r="B101" s="53"/>
      <c r="C101" s="53"/>
      <c r="D101" s="54"/>
      <c r="E101" s="54"/>
      <c r="F101" s="55"/>
      <c r="G101" s="55"/>
      <c r="H101" s="55"/>
      <c r="I101" s="56"/>
      <c r="J101" s="57"/>
      <c r="K101" s="58"/>
    </row>
  </sheetData>
  <mergeCells count="2">
    <mergeCell ref="A1:F1"/>
    <mergeCell ref="A2:K2"/>
  </mergeCells>
  <printOptions horizontalCentered="1"/>
  <pageMargins left="0" right="0" top="0.25" bottom="0.25" header="0" footer="0"/>
  <pageSetup paperSize="9" scale="78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84"/>
  <sheetViews>
    <sheetView zoomScale="96" zoomScaleNormal="96" workbookViewId="0">
      <pane xSplit="4" ySplit="4" topLeftCell="E5" activePane="bottomRight" state="frozen"/>
      <selection activeCell="G93" sqref="G93"/>
      <selection pane="topRight" activeCell="G93" sqref="G93"/>
      <selection pane="bottomLeft" activeCell="G93" sqref="G93"/>
      <selection pane="bottomRight" activeCell="J9" sqref="J9"/>
    </sheetView>
  </sheetViews>
  <sheetFormatPr defaultColWidth="8" defaultRowHeight="13.8" x14ac:dyDescent="0.25"/>
  <cols>
    <col min="1" max="1" width="4" style="146" customWidth="1"/>
    <col min="2" max="2" width="5.09765625" style="147" bestFit="1" customWidth="1"/>
    <col min="3" max="3" width="10.8984375" style="147" customWidth="1"/>
    <col min="4" max="4" width="15.3984375" style="147" bestFit="1" customWidth="1"/>
    <col min="5" max="5" width="19.09765625" style="147" bestFit="1" customWidth="1"/>
    <col min="6" max="6" width="28.69921875" style="148" bestFit="1" customWidth="1"/>
    <col min="7" max="7" width="17.5" style="148" bestFit="1" customWidth="1"/>
    <col min="8" max="8" width="15.59765625" style="148" bestFit="1" customWidth="1"/>
    <col min="9" max="9" width="10.3984375" style="148" bestFit="1" customWidth="1"/>
    <col min="10" max="10" width="13.8984375" style="148" bestFit="1" customWidth="1"/>
    <col min="11" max="11" width="10.5" style="147" bestFit="1" customWidth="1"/>
    <col min="12" max="12" width="16.69921875" style="148" bestFit="1" customWidth="1"/>
    <col min="13" max="16384" width="8" style="148"/>
  </cols>
  <sheetData>
    <row r="1" spans="1:14" s="112" customFormat="1" x14ac:dyDescent="0.25">
      <c r="A1" s="288" t="s">
        <v>58</v>
      </c>
      <c r="B1" s="288"/>
      <c r="C1" s="288"/>
      <c r="D1" s="288"/>
      <c r="E1" s="288"/>
      <c r="F1" s="288"/>
      <c r="G1" s="110"/>
      <c r="H1" s="110"/>
      <c r="I1" s="110"/>
      <c r="J1" s="110"/>
      <c r="K1" s="110"/>
      <c r="L1" s="110"/>
      <c r="M1" s="111"/>
    </row>
    <row r="2" spans="1:14" s="112" customFormat="1" ht="18" x14ac:dyDescent="0.25">
      <c r="A2" s="289" t="s">
        <v>59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113"/>
      <c r="N2" s="113"/>
    </row>
    <row r="3" spans="1:14" s="112" customFormat="1" ht="18.600000000000001" thickBot="1" x14ac:dyDescent="0.3">
      <c r="A3" s="114"/>
      <c r="B3" s="114"/>
      <c r="C3" s="255"/>
      <c r="D3" s="114"/>
      <c r="E3" s="114"/>
      <c r="F3" s="114"/>
      <c r="G3" s="114"/>
      <c r="H3" s="114"/>
      <c r="I3" s="114"/>
      <c r="J3" s="114"/>
      <c r="K3" s="114"/>
      <c r="L3" s="114"/>
      <c r="M3" s="113"/>
      <c r="N3" s="113"/>
    </row>
    <row r="4" spans="1:14" s="119" customFormat="1" ht="28.2" thickBot="1" x14ac:dyDescent="0.3">
      <c r="A4" s="115" t="s">
        <v>60</v>
      </c>
      <c r="B4" s="116" t="s">
        <v>61</v>
      </c>
      <c r="C4" s="116" t="s">
        <v>763</v>
      </c>
      <c r="D4" s="117" t="s">
        <v>219</v>
      </c>
      <c r="E4" s="117" t="s">
        <v>335</v>
      </c>
      <c r="F4" s="117" t="s">
        <v>220</v>
      </c>
      <c r="G4" s="117" t="s">
        <v>64</v>
      </c>
      <c r="H4" s="117"/>
      <c r="I4" s="117" t="s">
        <v>65</v>
      </c>
      <c r="J4" s="117" t="s">
        <v>66</v>
      </c>
      <c r="K4" s="117" t="s">
        <v>57</v>
      </c>
      <c r="L4" s="118" t="s">
        <v>10</v>
      </c>
    </row>
    <row r="5" spans="1:14" s="126" customFormat="1" x14ac:dyDescent="0.25">
      <c r="A5" s="120">
        <v>1</v>
      </c>
      <c r="B5" s="121">
        <v>1</v>
      </c>
      <c r="C5" s="121" t="s">
        <v>691</v>
      </c>
      <c r="D5" s="122" t="s">
        <v>135</v>
      </c>
      <c r="E5" s="122" t="s">
        <v>336</v>
      </c>
      <c r="F5" s="123" t="s">
        <v>340</v>
      </c>
      <c r="G5" s="267" t="s">
        <v>108</v>
      </c>
      <c r="H5" s="123" t="s">
        <v>176</v>
      </c>
      <c r="I5" s="123"/>
      <c r="J5" s="123"/>
      <c r="K5" s="88"/>
      <c r="L5" s="125"/>
    </row>
    <row r="6" spans="1:14" s="126" customFormat="1" x14ac:dyDescent="0.25">
      <c r="A6" s="127"/>
      <c r="B6" s="128">
        <f>B5+1</f>
        <v>2</v>
      </c>
      <c r="C6" s="128" t="s">
        <v>692</v>
      </c>
      <c r="D6" s="129" t="s">
        <v>135</v>
      </c>
      <c r="E6" s="129" t="s">
        <v>336</v>
      </c>
      <c r="F6" s="130" t="s">
        <v>340</v>
      </c>
      <c r="G6" s="130" t="s">
        <v>145</v>
      </c>
      <c r="H6" s="130" t="s">
        <v>771</v>
      </c>
      <c r="I6" s="130"/>
      <c r="J6" s="130"/>
      <c r="K6" s="131"/>
      <c r="L6" s="132"/>
    </row>
    <row r="7" spans="1:14" s="126" customFormat="1" x14ac:dyDescent="0.25">
      <c r="A7" s="127"/>
      <c r="B7" s="128">
        <f t="shared" ref="B7:B35" si="0">B6+1</f>
        <v>3</v>
      </c>
      <c r="C7" s="128" t="s">
        <v>693</v>
      </c>
      <c r="D7" s="129" t="s">
        <v>135</v>
      </c>
      <c r="E7" s="129" t="s">
        <v>336</v>
      </c>
      <c r="F7" s="130" t="s">
        <v>340</v>
      </c>
      <c r="G7" s="130" t="s">
        <v>177</v>
      </c>
      <c r="H7" s="130" t="s">
        <v>178</v>
      </c>
      <c r="I7" s="130"/>
      <c r="J7" s="130"/>
      <c r="K7" s="131"/>
      <c r="L7" s="132"/>
    </row>
    <row r="8" spans="1:14" s="126" customFormat="1" x14ac:dyDescent="0.25">
      <c r="A8" s="127"/>
      <c r="B8" s="128">
        <f t="shared" si="0"/>
        <v>4</v>
      </c>
      <c r="C8" s="128" t="s">
        <v>694</v>
      </c>
      <c r="D8" s="129" t="s">
        <v>135</v>
      </c>
      <c r="E8" s="129" t="s">
        <v>336</v>
      </c>
      <c r="F8" s="129" t="s">
        <v>340</v>
      </c>
      <c r="G8" s="129" t="s">
        <v>179</v>
      </c>
      <c r="H8" s="129" t="s">
        <v>180</v>
      </c>
      <c r="I8" s="130"/>
      <c r="J8" s="130"/>
      <c r="K8" s="128"/>
      <c r="L8" s="132"/>
    </row>
    <row r="9" spans="1:14" s="126" customFormat="1" x14ac:dyDescent="0.25">
      <c r="A9" s="127"/>
      <c r="B9" s="128">
        <f t="shared" si="0"/>
        <v>5</v>
      </c>
      <c r="C9" s="128" t="s">
        <v>695</v>
      </c>
      <c r="D9" s="129" t="s">
        <v>135</v>
      </c>
      <c r="E9" s="129" t="s">
        <v>337</v>
      </c>
      <c r="F9" s="129" t="s">
        <v>136</v>
      </c>
      <c r="G9" s="130" t="s">
        <v>221</v>
      </c>
      <c r="H9" s="130" t="s">
        <v>184</v>
      </c>
      <c r="I9" s="130"/>
      <c r="J9" s="133"/>
      <c r="K9" s="86"/>
      <c r="L9" s="134"/>
    </row>
    <row r="10" spans="1:14" s="126" customFormat="1" x14ac:dyDescent="0.25">
      <c r="A10" s="127"/>
      <c r="B10" s="128">
        <f t="shared" si="0"/>
        <v>6</v>
      </c>
      <c r="C10" s="128" t="s">
        <v>696</v>
      </c>
      <c r="D10" s="129" t="s">
        <v>135</v>
      </c>
      <c r="E10" s="129" t="s">
        <v>337</v>
      </c>
      <c r="F10" s="129" t="s">
        <v>139</v>
      </c>
      <c r="G10" s="130" t="s">
        <v>151</v>
      </c>
      <c r="H10" s="130" t="s">
        <v>187</v>
      </c>
      <c r="I10" s="130"/>
      <c r="J10" s="130"/>
      <c r="K10" s="85"/>
      <c r="L10" s="46"/>
    </row>
    <row r="11" spans="1:14" s="126" customFormat="1" x14ac:dyDescent="0.25">
      <c r="A11" s="127"/>
      <c r="B11" s="128">
        <f t="shared" si="0"/>
        <v>7</v>
      </c>
      <c r="C11" s="128" t="s">
        <v>697</v>
      </c>
      <c r="D11" s="129" t="s">
        <v>135</v>
      </c>
      <c r="E11" s="129" t="s">
        <v>337</v>
      </c>
      <c r="F11" s="129" t="s">
        <v>218</v>
      </c>
      <c r="G11" s="130" t="s">
        <v>152</v>
      </c>
      <c r="H11" s="130" t="s">
        <v>188</v>
      </c>
      <c r="I11" s="130"/>
      <c r="J11" s="130"/>
      <c r="K11" s="131"/>
      <c r="L11" s="132"/>
    </row>
    <row r="12" spans="1:14" s="126" customFormat="1" x14ac:dyDescent="0.25">
      <c r="A12" s="127"/>
      <c r="B12" s="128">
        <f t="shared" si="0"/>
        <v>8</v>
      </c>
      <c r="C12" s="128" t="s">
        <v>698</v>
      </c>
      <c r="D12" s="133" t="s">
        <v>135</v>
      </c>
      <c r="E12" s="133" t="s">
        <v>341</v>
      </c>
      <c r="F12" s="133" t="s">
        <v>342</v>
      </c>
      <c r="G12" s="133" t="s">
        <v>146</v>
      </c>
      <c r="H12" s="133" t="s">
        <v>181</v>
      </c>
      <c r="I12" s="133"/>
      <c r="J12" s="133"/>
      <c r="K12" s="133"/>
      <c r="L12" s="290"/>
    </row>
    <row r="13" spans="1:14" s="126" customFormat="1" x14ac:dyDescent="0.25">
      <c r="A13" s="127"/>
      <c r="B13" s="128">
        <f t="shared" si="0"/>
        <v>9</v>
      </c>
      <c r="C13" s="128" t="s">
        <v>699</v>
      </c>
      <c r="D13" s="133" t="s">
        <v>135</v>
      </c>
      <c r="E13" s="133" t="s">
        <v>341</v>
      </c>
      <c r="F13" s="133" t="s">
        <v>343</v>
      </c>
      <c r="G13" s="268" t="s">
        <v>147</v>
      </c>
      <c r="H13" s="268" t="s">
        <v>182</v>
      </c>
      <c r="I13" s="133"/>
      <c r="J13" s="133"/>
      <c r="K13" s="133"/>
      <c r="L13" s="291"/>
    </row>
    <row r="14" spans="1:14" s="126" customFormat="1" x14ac:dyDescent="0.25">
      <c r="A14" s="127"/>
      <c r="B14" s="128">
        <f t="shared" si="0"/>
        <v>10</v>
      </c>
      <c r="C14" s="128" t="s">
        <v>700</v>
      </c>
      <c r="D14" s="133" t="s">
        <v>135</v>
      </c>
      <c r="E14" s="133" t="s">
        <v>341</v>
      </c>
      <c r="F14" s="133" t="s">
        <v>344</v>
      </c>
      <c r="G14" s="268" t="s">
        <v>148</v>
      </c>
      <c r="H14" s="268" t="s">
        <v>183</v>
      </c>
      <c r="I14" s="133"/>
      <c r="J14" s="133"/>
      <c r="K14" s="133"/>
      <c r="L14" s="291"/>
    </row>
    <row r="15" spans="1:14" s="126" customFormat="1" x14ac:dyDescent="0.25">
      <c r="A15" s="127"/>
      <c r="B15" s="128">
        <f t="shared" si="0"/>
        <v>11</v>
      </c>
      <c r="C15" s="128" t="s">
        <v>701</v>
      </c>
      <c r="D15" s="133" t="s">
        <v>135</v>
      </c>
      <c r="E15" s="129" t="s">
        <v>337</v>
      </c>
      <c r="F15" s="129" t="s">
        <v>216</v>
      </c>
      <c r="G15" s="269" t="s">
        <v>150</v>
      </c>
      <c r="H15" s="269" t="s">
        <v>185</v>
      </c>
      <c r="I15" s="130"/>
      <c r="J15" s="130"/>
      <c r="K15" s="131"/>
      <c r="L15" s="132"/>
    </row>
    <row r="16" spans="1:14" s="126" customFormat="1" x14ac:dyDescent="0.25">
      <c r="A16" s="127"/>
      <c r="B16" s="128">
        <f t="shared" si="0"/>
        <v>12</v>
      </c>
      <c r="C16" s="128" t="s">
        <v>702</v>
      </c>
      <c r="D16" s="133" t="s">
        <v>135</v>
      </c>
      <c r="E16" s="129" t="s">
        <v>337</v>
      </c>
      <c r="F16" s="129" t="s">
        <v>217</v>
      </c>
      <c r="G16" s="269" t="s">
        <v>186</v>
      </c>
      <c r="H16" s="130" t="s">
        <v>149</v>
      </c>
      <c r="I16" s="130"/>
      <c r="J16" s="130"/>
      <c r="K16" s="131"/>
      <c r="L16" s="132"/>
    </row>
    <row r="17" spans="1:12" s="126" customFormat="1" x14ac:dyDescent="0.25">
      <c r="A17" s="127"/>
      <c r="B17" s="128">
        <f t="shared" si="0"/>
        <v>13</v>
      </c>
      <c r="C17" s="128" t="s">
        <v>703</v>
      </c>
      <c r="D17" s="133" t="s">
        <v>135</v>
      </c>
      <c r="E17" s="133" t="s">
        <v>338</v>
      </c>
      <c r="F17" s="129" t="s">
        <v>213</v>
      </c>
      <c r="G17" s="269" t="s">
        <v>78</v>
      </c>
      <c r="H17" s="269" t="s">
        <v>251</v>
      </c>
      <c r="I17" s="130"/>
      <c r="J17" s="130"/>
      <c r="K17" s="131"/>
      <c r="L17" s="292"/>
    </row>
    <row r="18" spans="1:12" s="126" customFormat="1" x14ac:dyDescent="0.25">
      <c r="A18" s="127"/>
      <c r="B18" s="128">
        <f t="shared" si="0"/>
        <v>14</v>
      </c>
      <c r="C18" s="128" t="s">
        <v>704</v>
      </c>
      <c r="D18" s="133" t="s">
        <v>135</v>
      </c>
      <c r="E18" s="133" t="s">
        <v>338</v>
      </c>
      <c r="F18" s="129" t="s">
        <v>214</v>
      </c>
      <c r="G18" s="269" t="s">
        <v>244</v>
      </c>
      <c r="H18" s="269" t="s">
        <v>772</v>
      </c>
      <c r="I18" s="130"/>
      <c r="J18" s="130"/>
      <c r="K18" s="131"/>
      <c r="L18" s="293"/>
    </row>
    <row r="19" spans="1:12" s="126" customFormat="1" x14ac:dyDescent="0.25">
      <c r="A19" s="127"/>
      <c r="B19" s="128">
        <f t="shared" si="0"/>
        <v>15</v>
      </c>
      <c r="C19" s="128" t="s">
        <v>705</v>
      </c>
      <c r="D19" s="133" t="s">
        <v>135</v>
      </c>
      <c r="E19" s="133" t="s">
        <v>338</v>
      </c>
      <c r="F19" s="129" t="s">
        <v>247</v>
      </c>
      <c r="G19" s="269" t="s">
        <v>773</v>
      </c>
      <c r="H19" s="269" t="s">
        <v>253</v>
      </c>
      <c r="I19" s="130"/>
      <c r="J19" s="130"/>
      <c r="K19" s="131"/>
      <c r="L19" s="293"/>
    </row>
    <row r="20" spans="1:12" s="126" customFormat="1" x14ac:dyDescent="0.25">
      <c r="A20" s="127"/>
      <c r="B20" s="128">
        <f t="shared" si="0"/>
        <v>16</v>
      </c>
      <c r="C20" s="128" t="s">
        <v>706</v>
      </c>
      <c r="D20" s="133" t="s">
        <v>135</v>
      </c>
      <c r="E20" s="133" t="s">
        <v>338</v>
      </c>
      <c r="F20" s="129" t="s">
        <v>248</v>
      </c>
      <c r="G20" s="269" t="s">
        <v>254</v>
      </c>
      <c r="H20" s="269" t="s">
        <v>255</v>
      </c>
      <c r="I20" s="130"/>
      <c r="J20" s="133"/>
      <c r="K20" s="128"/>
      <c r="L20" s="293"/>
    </row>
    <row r="21" spans="1:12" s="126" customFormat="1" x14ac:dyDescent="0.25">
      <c r="A21" s="127"/>
      <c r="B21" s="128">
        <f t="shared" si="0"/>
        <v>17</v>
      </c>
      <c r="C21" s="128" t="s">
        <v>707</v>
      </c>
      <c r="D21" s="133" t="s">
        <v>135</v>
      </c>
      <c r="E21" s="133" t="s">
        <v>338</v>
      </c>
      <c r="F21" s="129" t="s">
        <v>249</v>
      </c>
      <c r="G21" s="269" t="s">
        <v>85</v>
      </c>
      <c r="H21" s="269" t="s">
        <v>256</v>
      </c>
      <c r="I21" s="130"/>
      <c r="J21" s="133"/>
      <c r="K21" s="128"/>
      <c r="L21" s="293"/>
    </row>
    <row r="22" spans="1:12" s="126" customFormat="1" x14ac:dyDescent="0.25">
      <c r="A22" s="127"/>
      <c r="B22" s="128">
        <f t="shared" si="0"/>
        <v>18</v>
      </c>
      <c r="C22" s="128" t="s">
        <v>708</v>
      </c>
      <c r="D22" s="133" t="s">
        <v>135</v>
      </c>
      <c r="E22" s="133" t="s">
        <v>338</v>
      </c>
      <c r="F22" s="129" t="s">
        <v>250</v>
      </c>
      <c r="G22" s="269" t="s">
        <v>77</v>
      </c>
      <c r="H22" s="269" t="s">
        <v>68</v>
      </c>
      <c r="I22" s="130"/>
      <c r="J22" s="133"/>
      <c r="K22" s="128"/>
      <c r="L22" s="287"/>
    </row>
    <row r="23" spans="1:12" s="126" customFormat="1" x14ac:dyDescent="0.25">
      <c r="A23" s="127"/>
      <c r="B23" s="128">
        <f t="shared" si="0"/>
        <v>19</v>
      </c>
      <c r="C23" s="128" t="s">
        <v>709</v>
      </c>
      <c r="D23" s="133" t="s">
        <v>135</v>
      </c>
      <c r="E23" s="133" t="s">
        <v>339</v>
      </c>
      <c r="F23" s="133" t="s">
        <v>206</v>
      </c>
      <c r="G23" s="269" t="s">
        <v>153</v>
      </c>
      <c r="H23" s="268" t="s">
        <v>774</v>
      </c>
      <c r="I23" s="133"/>
      <c r="J23" s="133"/>
      <c r="K23" s="133"/>
      <c r="L23" s="134"/>
    </row>
    <row r="24" spans="1:12" s="126" customFormat="1" x14ac:dyDescent="0.25">
      <c r="A24" s="127"/>
      <c r="B24" s="128">
        <f t="shared" si="0"/>
        <v>20</v>
      </c>
      <c r="C24" s="128" t="s">
        <v>710</v>
      </c>
      <c r="D24" s="129" t="s">
        <v>135</v>
      </c>
      <c r="E24" s="133" t="s">
        <v>339</v>
      </c>
      <c r="F24" s="133" t="s">
        <v>207</v>
      </c>
      <c r="G24" s="269" t="s">
        <v>124</v>
      </c>
      <c r="H24" s="268" t="s">
        <v>123</v>
      </c>
      <c r="I24" s="133"/>
      <c r="J24" s="133"/>
      <c r="K24" s="133"/>
      <c r="L24" s="134"/>
    </row>
    <row r="25" spans="1:12" s="126" customFormat="1" x14ac:dyDescent="0.25">
      <c r="A25" s="127"/>
      <c r="B25" s="128">
        <f t="shared" si="0"/>
        <v>21</v>
      </c>
      <c r="C25" s="128" t="s">
        <v>711</v>
      </c>
      <c r="D25" s="129" t="s">
        <v>135</v>
      </c>
      <c r="E25" s="133" t="s">
        <v>339</v>
      </c>
      <c r="F25" s="133" t="s">
        <v>208</v>
      </c>
      <c r="G25" s="268" t="s">
        <v>189</v>
      </c>
      <c r="H25" s="268" t="s">
        <v>155</v>
      </c>
      <c r="I25" s="133"/>
      <c r="J25" s="133"/>
      <c r="K25" s="133"/>
      <c r="L25" s="134"/>
    </row>
    <row r="26" spans="1:12" s="126" customFormat="1" x14ac:dyDescent="0.25">
      <c r="A26" s="127"/>
      <c r="B26" s="128">
        <f t="shared" si="0"/>
        <v>22</v>
      </c>
      <c r="C26" s="128" t="s">
        <v>712</v>
      </c>
      <c r="D26" s="129" t="s">
        <v>135</v>
      </c>
      <c r="E26" s="133" t="s">
        <v>339</v>
      </c>
      <c r="F26" s="133" t="s">
        <v>209</v>
      </c>
      <c r="G26" s="268" t="s">
        <v>125</v>
      </c>
      <c r="H26" s="268" t="s">
        <v>157</v>
      </c>
      <c r="I26" s="133"/>
      <c r="J26" s="133"/>
      <c r="K26" s="133"/>
      <c r="L26" s="134"/>
    </row>
    <row r="27" spans="1:12" s="126" customFormat="1" x14ac:dyDescent="0.25">
      <c r="A27" s="127"/>
      <c r="B27" s="128">
        <f t="shared" si="0"/>
        <v>23</v>
      </c>
      <c r="C27" s="128" t="s">
        <v>713</v>
      </c>
      <c r="D27" s="129" t="s">
        <v>135</v>
      </c>
      <c r="E27" s="133" t="s">
        <v>339</v>
      </c>
      <c r="F27" s="133" t="s">
        <v>210</v>
      </c>
      <c r="G27" s="268" t="s">
        <v>192</v>
      </c>
      <c r="H27" s="268" t="s">
        <v>160</v>
      </c>
      <c r="I27" s="133"/>
      <c r="J27" s="133"/>
      <c r="K27" s="133"/>
      <c r="L27" s="134"/>
    </row>
    <row r="28" spans="1:12" s="126" customFormat="1" x14ac:dyDescent="0.25">
      <c r="A28" s="127"/>
      <c r="B28" s="128">
        <f t="shared" si="0"/>
        <v>24</v>
      </c>
      <c r="C28" s="128" t="s">
        <v>714</v>
      </c>
      <c r="D28" s="129" t="s">
        <v>135</v>
      </c>
      <c r="E28" s="133" t="s">
        <v>339</v>
      </c>
      <c r="F28" s="133" t="s">
        <v>211</v>
      </c>
      <c r="G28" s="268" t="s">
        <v>193</v>
      </c>
      <c r="H28" s="268" t="s">
        <v>161</v>
      </c>
      <c r="I28" s="133"/>
      <c r="J28" s="133"/>
      <c r="K28" s="133"/>
      <c r="L28" s="134"/>
    </row>
    <row r="29" spans="1:12" s="126" customFormat="1" x14ac:dyDescent="0.25">
      <c r="A29" s="127"/>
      <c r="B29" s="128">
        <f t="shared" si="0"/>
        <v>25</v>
      </c>
      <c r="C29" s="128" t="s">
        <v>715</v>
      </c>
      <c r="D29" s="129" t="s">
        <v>135</v>
      </c>
      <c r="E29" s="133" t="s">
        <v>339</v>
      </c>
      <c r="F29" s="133" t="s">
        <v>212</v>
      </c>
      <c r="G29" s="268" t="s">
        <v>156</v>
      </c>
      <c r="H29" s="268" t="s">
        <v>122</v>
      </c>
      <c r="I29" s="133"/>
      <c r="J29" s="133"/>
      <c r="K29" s="133"/>
      <c r="L29" s="134"/>
    </row>
    <row r="30" spans="1:12" s="126" customFormat="1" x14ac:dyDescent="0.25">
      <c r="A30" s="127"/>
      <c r="B30" s="128">
        <f t="shared" si="0"/>
        <v>26</v>
      </c>
      <c r="C30" s="128" t="s">
        <v>716</v>
      </c>
      <c r="D30" s="129" t="s">
        <v>135</v>
      </c>
      <c r="E30" s="133" t="s">
        <v>339</v>
      </c>
      <c r="F30" s="133" t="s">
        <v>215</v>
      </c>
      <c r="G30" s="268" t="s">
        <v>158</v>
      </c>
      <c r="H30" s="268" t="s">
        <v>190</v>
      </c>
      <c r="I30" s="133"/>
      <c r="J30" s="133"/>
      <c r="K30" s="133"/>
      <c r="L30" s="134"/>
    </row>
    <row r="31" spans="1:12" s="126" customFormat="1" x14ac:dyDescent="0.25">
      <c r="A31" s="127"/>
      <c r="B31" s="128">
        <f t="shared" si="0"/>
        <v>27</v>
      </c>
      <c r="C31" s="128" t="s">
        <v>717</v>
      </c>
      <c r="D31" s="129" t="s">
        <v>135</v>
      </c>
      <c r="E31" s="133" t="s">
        <v>339</v>
      </c>
      <c r="F31" s="133" t="s">
        <v>775</v>
      </c>
      <c r="G31" s="270" t="s">
        <v>776</v>
      </c>
      <c r="H31" s="270" t="s">
        <v>777</v>
      </c>
      <c r="I31" s="152"/>
      <c r="J31" s="152"/>
      <c r="K31" s="152"/>
      <c r="L31" s="153"/>
    </row>
    <row r="32" spans="1:12" s="126" customFormat="1" x14ac:dyDescent="0.25">
      <c r="A32" s="150"/>
      <c r="B32" s="128">
        <f t="shared" si="0"/>
        <v>28</v>
      </c>
      <c r="C32" s="256" t="s">
        <v>718</v>
      </c>
      <c r="D32" s="151" t="s">
        <v>135</v>
      </c>
      <c r="E32" s="133" t="s">
        <v>339</v>
      </c>
      <c r="F32" s="152" t="s">
        <v>140</v>
      </c>
      <c r="G32" s="271" t="s">
        <v>159</v>
      </c>
      <c r="H32" s="271" t="s">
        <v>191</v>
      </c>
      <c r="I32" s="152"/>
      <c r="J32" s="152"/>
      <c r="K32" s="152"/>
      <c r="L32" s="153"/>
    </row>
    <row r="33" spans="1:12" s="126" customFormat="1" x14ac:dyDescent="0.25">
      <c r="A33" s="150"/>
      <c r="B33" s="128">
        <f t="shared" si="0"/>
        <v>29</v>
      </c>
      <c r="C33" s="256" t="s">
        <v>719</v>
      </c>
      <c r="D33" s="151" t="s">
        <v>135</v>
      </c>
      <c r="E33" s="133" t="s">
        <v>346</v>
      </c>
      <c r="F33" s="281" t="s">
        <v>789</v>
      </c>
      <c r="G33" s="281" t="s">
        <v>790</v>
      </c>
      <c r="H33" s="281" t="s">
        <v>791</v>
      </c>
      <c r="I33" s="152"/>
      <c r="J33" s="152"/>
      <c r="K33" s="152"/>
      <c r="L33" s="158"/>
    </row>
    <row r="34" spans="1:12" s="126" customFormat="1" x14ac:dyDescent="0.25">
      <c r="A34" s="150"/>
      <c r="B34" s="128">
        <f t="shared" si="0"/>
        <v>30</v>
      </c>
      <c r="C34" s="256" t="s">
        <v>720</v>
      </c>
      <c r="D34" s="151" t="s">
        <v>135</v>
      </c>
      <c r="E34" s="133" t="s">
        <v>346</v>
      </c>
      <c r="F34" s="281" t="s">
        <v>792</v>
      </c>
      <c r="G34" s="271" t="s">
        <v>47</v>
      </c>
      <c r="H34" s="271" t="s">
        <v>330</v>
      </c>
      <c r="I34" s="152"/>
      <c r="J34" s="152"/>
      <c r="K34" s="152"/>
      <c r="L34" s="153"/>
    </row>
    <row r="35" spans="1:12" s="126" customFormat="1" x14ac:dyDescent="0.25">
      <c r="A35" s="150"/>
      <c r="B35" s="128">
        <f t="shared" si="0"/>
        <v>31</v>
      </c>
      <c r="C35" s="256" t="s">
        <v>721</v>
      </c>
      <c r="D35" s="151" t="s">
        <v>135</v>
      </c>
      <c r="E35" s="133" t="s">
        <v>346</v>
      </c>
      <c r="F35" s="281" t="s">
        <v>789</v>
      </c>
      <c r="G35" s="271" t="s">
        <v>793</v>
      </c>
      <c r="H35" s="271" t="s">
        <v>794</v>
      </c>
      <c r="I35" s="152"/>
      <c r="J35" s="152"/>
      <c r="K35" s="152"/>
      <c r="L35" s="153"/>
    </row>
    <row r="36" spans="1:12" s="126" customFormat="1" ht="14.4" thickBot="1" x14ac:dyDescent="0.3">
      <c r="A36" s="135"/>
      <c r="B36" s="136">
        <f>B35+1</f>
        <v>32</v>
      </c>
      <c r="C36" s="136" t="s">
        <v>722</v>
      </c>
      <c r="D36" s="137" t="s">
        <v>135</v>
      </c>
      <c r="E36" s="133" t="s">
        <v>346</v>
      </c>
      <c r="F36" s="282"/>
      <c r="G36" s="272"/>
      <c r="H36" s="272"/>
      <c r="I36" s="138"/>
      <c r="J36" s="138"/>
      <c r="K36" s="138"/>
      <c r="L36" s="139"/>
    </row>
    <row r="37" spans="1:12" s="126" customFormat="1" x14ac:dyDescent="0.25">
      <c r="A37" s="120">
        <v>2</v>
      </c>
      <c r="B37" s="121">
        <v>1</v>
      </c>
      <c r="C37" s="121" t="s">
        <v>723</v>
      </c>
      <c r="D37" s="122" t="s">
        <v>141</v>
      </c>
      <c r="E37" s="122" t="s">
        <v>336</v>
      </c>
      <c r="F37" s="122" t="s">
        <v>340</v>
      </c>
      <c r="G37" s="273" t="s">
        <v>108</v>
      </c>
      <c r="H37" s="122" t="s">
        <v>398</v>
      </c>
      <c r="I37" s="123"/>
      <c r="J37" s="123"/>
      <c r="K37" s="140"/>
      <c r="L37" s="125"/>
    </row>
    <row r="38" spans="1:12" s="126" customFormat="1" x14ac:dyDescent="0.25">
      <c r="A38" s="127"/>
      <c r="B38" s="128">
        <f>B37+1</f>
        <v>2</v>
      </c>
      <c r="C38" s="128" t="s">
        <v>724</v>
      </c>
      <c r="D38" s="129" t="s">
        <v>141</v>
      </c>
      <c r="E38" s="129" t="s">
        <v>337</v>
      </c>
      <c r="F38" s="129" t="s">
        <v>142</v>
      </c>
      <c r="G38" s="130" t="s">
        <v>138</v>
      </c>
      <c r="H38" s="130" t="s">
        <v>162</v>
      </c>
      <c r="I38" s="130"/>
      <c r="J38" s="130"/>
      <c r="K38" s="131"/>
      <c r="L38" s="132"/>
    </row>
    <row r="39" spans="1:12" s="126" customFormat="1" x14ac:dyDescent="0.25">
      <c r="A39" s="127"/>
      <c r="B39" s="128">
        <f t="shared" ref="B39:B59" si="1">B38+1</f>
        <v>3</v>
      </c>
      <c r="C39" s="128" t="s">
        <v>725</v>
      </c>
      <c r="D39" s="129" t="s">
        <v>141</v>
      </c>
      <c r="E39" s="129" t="s">
        <v>337</v>
      </c>
      <c r="F39" s="129" t="s">
        <v>137</v>
      </c>
      <c r="G39" s="133" t="s">
        <v>194</v>
      </c>
      <c r="H39" s="130" t="s">
        <v>163</v>
      </c>
      <c r="I39" s="130"/>
      <c r="J39" s="130"/>
      <c r="K39" s="131"/>
      <c r="L39" s="132"/>
    </row>
    <row r="40" spans="1:12" s="126" customFormat="1" x14ac:dyDescent="0.25">
      <c r="A40" s="127"/>
      <c r="B40" s="128">
        <f>B39+1</f>
        <v>4</v>
      </c>
      <c r="C40" s="128" t="s">
        <v>726</v>
      </c>
      <c r="D40" s="129" t="s">
        <v>141</v>
      </c>
      <c r="E40" s="133" t="s">
        <v>338</v>
      </c>
      <c r="F40" s="129" t="s">
        <v>213</v>
      </c>
      <c r="G40" s="268" t="s">
        <v>252</v>
      </c>
      <c r="H40" s="268" t="s">
        <v>257</v>
      </c>
      <c r="I40" s="130"/>
      <c r="J40" s="133"/>
      <c r="K40" s="128"/>
      <c r="L40" s="292"/>
    </row>
    <row r="41" spans="1:12" s="126" customFormat="1" x14ac:dyDescent="0.25">
      <c r="A41" s="127"/>
      <c r="B41" s="128">
        <f t="shared" ref="B41:B49" si="2">B40+1</f>
        <v>5</v>
      </c>
      <c r="C41" s="128" t="s">
        <v>727</v>
      </c>
      <c r="D41" s="129" t="s">
        <v>141</v>
      </c>
      <c r="E41" s="133" t="s">
        <v>338</v>
      </c>
      <c r="F41" s="129" t="s">
        <v>214</v>
      </c>
      <c r="G41" s="269" t="s">
        <v>263</v>
      </c>
      <c r="H41" s="269" t="s">
        <v>264</v>
      </c>
      <c r="I41" s="130"/>
      <c r="J41" s="133"/>
      <c r="K41" s="128"/>
      <c r="L41" s="293"/>
    </row>
    <row r="42" spans="1:12" s="126" customFormat="1" x14ac:dyDescent="0.25">
      <c r="A42" s="127"/>
      <c r="B42" s="128">
        <f t="shared" si="2"/>
        <v>6</v>
      </c>
      <c r="C42" s="128" t="s">
        <v>728</v>
      </c>
      <c r="D42" s="129" t="s">
        <v>141</v>
      </c>
      <c r="E42" s="133" t="s">
        <v>338</v>
      </c>
      <c r="F42" s="129" t="s">
        <v>247</v>
      </c>
      <c r="G42" s="269" t="s">
        <v>254</v>
      </c>
      <c r="H42" s="269" t="s">
        <v>260</v>
      </c>
      <c r="I42" s="130"/>
      <c r="J42" s="133"/>
      <c r="K42" s="128"/>
      <c r="L42" s="293"/>
    </row>
    <row r="43" spans="1:12" s="126" customFormat="1" x14ac:dyDescent="0.25">
      <c r="A43" s="127"/>
      <c r="B43" s="128">
        <f t="shared" si="2"/>
        <v>7</v>
      </c>
      <c r="C43" s="128" t="s">
        <v>729</v>
      </c>
      <c r="D43" s="129" t="s">
        <v>141</v>
      </c>
      <c r="E43" s="133" t="s">
        <v>338</v>
      </c>
      <c r="F43" s="129" t="s">
        <v>248</v>
      </c>
      <c r="G43" s="269" t="s">
        <v>261</v>
      </c>
      <c r="H43" s="269" t="s">
        <v>262</v>
      </c>
      <c r="I43" s="130"/>
      <c r="J43" s="133"/>
      <c r="K43" s="128"/>
      <c r="L43" s="293"/>
    </row>
    <row r="44" spans="1:12" s="126" customFormat="1" x14ac:dyDescent="0.25">
      <c r="A44" s="127"/>
      <c r="B44" s="128">
        <f t="shared" si="2"/>
        <v>8</v>
      </c>
      <c r="C44" s="128" t="s">
        <v>730</v>
      </c>
      <c r="D44" s="129" t="s">
        <v>141</v>
      </c>
      <c r="E44" s="133" t="s">
        <v>338</v>
      </c>
      <c r="F44" s="129" t="s">
        <v>249</v>
      </c>
      <c r="G44" s="269" t="s">
        <v>258</v>
      </c>
      <c r="H44" s="268" t="s">
        <v>259</v>
      </c>
      <c r="I44" s="130"/>
      <c r="J44" s="133"/>
      <c r="K44" s="128"/>
      <c r="L44" s="293"/>
    </row>
    <row r="45" spans="1:12" s="126" customFormat="1" x14ac:dyDescent="0.25">
      <c r="A45" s="127"/>
      <c r="B45" s="128">
        <f t="shared" si="2"/>
        <v>9</v>
      </c>
      <c r="C45" s="128" t="s">
        <v>731</v>
      </c>
      <c r="D45" s="129" t="s">
        <v>141</v>
      </c>
      <c r="E45" s="133" t="s">
        <v>338</v>
      </c>
      <c r="F45" s="129" t="s">
        <v>250</v>
      </c>
      <c r="G45" s="274" t="s">
        <v>772</v>
      </c>
      <c r="H45" s="269" t="s">
        <v>265</v>
      </c>
      <c r="I45" s="130"/>
      <c r="J45" s="133"/>
      <c r="K45" s="128"/>
      <c r="L45" s="293"/>
    </row>
    <row r="46" spans="1:12" s="126" customFormat="1" x14ac:dyDescent="0.25">
      <c r="A46" s="127"/>
      <c r="B46" s="128">
        <f t="shared" si="2"/>
        <v>10</v>
      </c>
      <c r="C46" s="128" t="s">
        <v>732</v>
      </c>
      <c r="D46" s="129" t="s">
        <v>141</v>
      </c>
      <c r="E46" s="133" t="s">
        <v>338</v>
      </c>
      <c r="F46" s="129" t="s">
        <v>266</v>
      </c>
      <c r="G46" s="274" t="s">
        <v>773</v>
      </c>
      <c r="H46" s="274" t="s">
        <v>778</v>
      </c>
      <c r="I46" s="130"/>
      <c r="J46" s="133"/>
      <c r="K46" s="128"/>
      <c r="L46" s="287"/>
    </row>
    <row r="47" spans="1:12" s="126" customFormat="1" x14ac:dyDescent="0.25">
      <c r="A47" s="127"/>
      <c r="B47" s="128">
        <f t="shared" si="2"/>
        <v>11</v>
      </c>
      <c r="C47" s="128" t="s">
        <v>733</v>
      </c>
      <c r="D47" s="129" t="s">
        <v>141</v>
      </c>
      <c r="E47" s="133" t="s">
        <v>339</v>
      </c>
      <c r="F47" s="133" t="s">
        <v>206</v>
      </c>
      <c r="G47" s="268" t="s">
        <v>153</v>
      </c>
      <c r="H47" s="268" t="s">
        <v>197</v>
      </c>
      <c r="I47" s="133"/>
      <c r="J47" s="133"/>
      <c r="K47" s="133"/>
      <c r="L47" s="134"/>
    </row>
    <row r="48" spans="1:12" s="126" customFormat="1" x14ac:dyDescent="0.25">
      <c r="A48" s="127"/>
      <c r="B48" s="128">
        <f t="shared" si="2"/>
        <v>12</v>
      </c>
      <c r="C48" s="128" t="s">
        <v>734</v>
      </c>
      <c r="D48" s="129" t="s">
        <v>141</v>
      </c>
      <c r="E48" s="133" t="s">
        <v>339</v>
      </c>
      <c r="F48" s="133" t="s">
        <v>207</v>
      </c>
      <c r="G48" s="268" t="s">
        <v>154</v>
      </c>
      <c r="H48" s="268" t="s">
        <v>195</v>
      </c>
      <c r="I48" s="133"/>
      <c r="J48" s="133"/>
      <c r="K48" s="133"/>
      <c r="L48" s="134"/>
    </row>
    <row r="49" spans="1:12" s="126" customFormat="1" x14ac:dyDescent="0.25">
      <c r="A49" s="127"/>
      <c r="B49" s="128">
        <f t="shared" si="2"/>
        <v>13</v>
      </c>
      <c r="C49" s="128" t="s">
        <v>735</v>
      </c>
      <c r="D49" s="129" t="s">
        <v>141</v>
      </c>
      <c r="E49" s="133" t="s">
        <v>339</v>
      </c>
      <c r="F49" s="133" t="s">
        <v>208</v>
      </c>
      <c r="G49" s="268" t="s">
        <v>164</v>
      </c>
      <c r="H49" s="268" t="s">
        <v>196</v>
      </c>
      <c r="I49" s="133"/>
      <c r="J49" s="133"/>
      <c r="K49" s="133"/>
      <c r="L49" s="134"/>
    </row>
    <row r="50" spans="1:12" s="126" customFormat="1" x14ac:dyDescent="0.25">
      <c r="A50" s="127"/>
      <c r="B50" s="128">
        <f t="shared" si="1"/>
        <v>14</v>
      </c>
      <c r="C50" s="128" t="s">
        <v>736</v>
      </c>
      <c r="D50" s="129" t="s">
        <v>141</v>
      </c>
      <c r="E50" s="133" t="s">
        <v>339</v>
      </c>
      <c r="F50" s="133" t="s">
        <v>209</v>
      </c>
      <c r="G50" s="275" t="s">
        <v>169</v>
      </c>
      <c r="H50" s="275" t="s">
        <v>779</v>
      </c>
      <c r="I50" s="130"/>
      <c r="J50" s="130"/>
      <c r="K50" s="131"/>
      <c r="L50" s="132"/>
    </row>
    <row r="51" spans="1:12" s="126" customFormat="1" x14ac:dyDescent="0.25">
      <c r="A51" s="127"/>
      <c r="B51" s="128">
        <f t="shared" si="1"/>
        <v>15</v>
      </c>
      <c r="C51" s="128" t="s">
        <v>737</v>
      </c>
      <c r="D51" s="129" t="s">
        <v>141</v>
      </c>
      <c r="E51" s="133" t="s">
        <v>339</v>
      </c>
      <c r="F51" s="133" t="s">
        <v>210</v>
      </c>
      <c r="G51" s="268" t="s">
        <v>166</v>
      </c>
      <c r="H51" s="268" t="s">
        <v>199</v>
      </c>
      <c r="I51" s="133"/>
      <c r="J51" s="133"/>
      <c r="K51" s="133"/>
      <c r="L51" s="134"/>
    </row>
    <row r="52" spans="1:12" s="126" customFormat="1" x14ac:dyDescent="0.25">
      <c r="A52" s="127"/>
      <c r="B52" s="128">
        <f t="shared" si="1"/>
        <v>16</v>
      </c>
      <c r="C52" s="128" t="s">
        <v>738</v>
      </c>
      <c r="D52" s="129" t="s">
        <v>141</v>
      </c>
      <c r="E52" s="133" t="s">
        <v>339</v>
      </c>
      <c r="F52" s="133" t="s">
        <v>211</v>
      </c>
      <c r="G52" s="275" t="s">
        <v>167</v>
      </c>
      <c r="H52" s="275" t="s">
        <v>200</v>
      </c>
      <c r="I52" s="130"/>
      <c r="J52" s="130"/>
      <c r="K52" s="131"/>
      <c r="L52" s="132"/>
    </row>
    <row r="53" spans="1:12" s="126" customFormat="1" x14ac:dyDescent="0.25">
      <c r="A53" s="127"/>
      <c r="B53" s="128">
        <f t="shared" si="1"/>
        <v>17</v>
      </c>
      <c r="C53" s="128" t="s">
        <v>739</v>
      </c>
      <c r="D53" s="129" t="s">
        <v>141</v>
      </c>
      <c r="E53" s="133" t="s">
        <v>339</v>
      </c>
      <c r="F53" s="133" t="s">
        <v>212</v>
      </c>
      <c r="G53" s="275" t="s">
        <v>168</v>
      </c>
      <c r="H53" s="275" t="s">
        <v>201</v>
      </c>
      <c r="I53" s="130"/>
      <c r="J53" s="130"/>
      <c r="K53" s="131"/>
      <c r="L53" s="132"/>
    </row>
    <row r="54" spans="1:12" s="126" customFormat="1" x14ac:dyDescent="0.25">
      <c r="A54" s="150"/>
      <c r="B54" s="128">
        <f t="shared" si="1"/>
        <v>18</v>
      </c>
      <c r="C54" s="256" t="s">
        <v>740</v>
      </c>
      <c r="D54" s="151" t="s">
        <v>141</v>
      </c>
      <c r="E54" s="152" t="s">
        <v>339</v>
      </c>
      <c r="F54" s="152" t="s">
        <v>215</v>
      </c>
      <c r="G54" s="271" t="s">
        <v>165</v>
      </c>
      <c r="H54" s="271" t="s">
        <v>198</v>
      </c>
      <c r="I54" s="156"/>
      <c r="J54" s="156"/>
      <c r="K54" s="157"/>
      <c r="L54" s="158"/>
    </row>
    <row r="55" spans="1:12" s="126" customFormat="1" x14ac:dyDescent="0.25">
      <c r="A55" s="150"/>
      <c r="B55" s="128">
        <f t="shared" si="1"/>
        <v>19</v>
      </c>
      <c r="C55" s="256" t="s">
        <v>741</v>
      </c>
      <c r="D55" s="151" t="s">
        <v>141</v>
      </c>
      <c r="E55" s="151" t="s">
        <v>346</v>
      </c>
      <c r="F55" s="281" t="s">
        <v>795</v>
      </c>
      <c r="G55" s="281" t="s">
        <v>793</v>
      </c>
      <c r="H55" s="281" t="s">
        <v>358</v>
      </c>
      <c r="I55" s="156"/>
      <c r="J55" s="156"/>
      <c r="K55" s="157"/>
      <c r="L55" s="158"/>
    </row>
    <row r="56" spans="1:12" s="126" customFormat="1" x14ac:dyDescent="0.25">
      <c r="A56" s="150"/>
      <c r="B56" s="128">
        <f t="shared" si="1"/>
        <v>20</v>
      </c>
      <c r="C56" s="256" t="s">
        <v>742</v>
      </c>
      <c r="D56" s="151" t="s">
        <v>141</v>
      </c>
      <c r="E56" s="152" t="s">
        <v>346</v>
      </c>
      <c r="F56" s="281" t="s">
        <v>789</v>
      </c>
      <c r="G56" s="281" t="s">
        <v>791</v>
      </c>
      <c r="H56" s="281" t="s">
        <v>357</v>
      </c>
      <c r="I56" s="156"/>
      <c r="J56" s="156"/>
      <c r="K56" s="157"/>
      <c r="L56" s="158"/>
    </row>
    <row r="57" spans="1:12" s="126" customFormat="1" x14ac:dyDescent="0.25">
      <c r="A57" s="150"/>
      <c r="B57" s="128">
        <f t="shared" si="1"/>
        <v>21</v>
      </c>
      <c r="C57" s="256" t="s">
        <v>743</v>
      </c>
      <c r="D57" s="151" t="s">
        <v>141</v>
      </c>
      <c r="E57" s="152" t="s">
        <v>346</v>
      </c>
      <c r="F57" s="281" t="s">
        <v>789</v>
      </c>
      <c r="G57" s="152" t="s">
        <v>110</v>
      </c>
      <c r="H57" s="152" t="s">
        <v>356</v>
      </c>
      <c r="I57" s="156"/>
      <c r="J57" s="156"/>
      <c r="K57" s="157"/>
      <c r="L57" s="153"/>
    </row>
    <row r="58" spans="1:12" s="126" customFormat="1" x14ac:dyDescent="0.25">
      <c r="A58" s="150"/>
      <c r="B58" s="128">
        <f t="shared" si="1"/>
        <v>22</v>
      </c>
      <c r="C58" s="256" t="s">
        <v>744</v>
      </c>
      <c r="D58" s="151" t="s">
        <v>141</v>
      </c>
      <c r="E58" s="152" t="s">
        <v>346</v>
      </c>
      <c r="F58" s="281" t="s">
        <v>792</v>
      </c>
      <c r="G58" s="152" t="s">
        <v>330</v>
      </c>
      <c r="H58" s="152" t="s">
        <v>53</v>
      </c>
      <c r="I58" s="156"/>
      <c r="J58" s="156"/>
      <c r="K58" s="157"/>
      <c r="L58" s="153"/>
    </row>
    <row r="59" spans="1:12" s="126" customFormat="1" x14ac:dyDescent="0.25">
      <c r="A59" s="150"/>
      <c r="B59" s="128">
        <f t="shared" si="1"/>
        <v>23</v>
      </c>
      <c r="C59" s="256" t="s">
        <v>745</v>
      </c>
      <c r="D59" s="151" t="s">
        <v>141</v>
      </c>
      <c r="E59" s="152" t="s">
        <v>346</v>
      </c>
      <c r="F59" s="281" t="s">
        <v>795</v>
      </c>
      <c r="G59" s="152" t="s">
        <v>796</v>
      </c>
      <c r="H59" s="152" t="s">
        <v>352</v>
      </c>
      <c r="I59" s="156"/>
      <c r="J59" s="156"/>
      <c r="K59" s="157"/>
      <c r="L59" s="153"/>
    </row>
    <row r="60" spans="1:12" s="126" customFormat="1" ht="14.4" thickBot="1" x14ac:dyDescent="0.3">
      <c r="A60" s="135"/>
      <c r="B60" s="136">
        <f>B59+1</f>
        <v>24</v>
      </c>
      <c r="C60" s="136" t="s">
        <v>746</v>
      </c>
      <c r="D60" s="137" t="s">
        <v>141</v>
      </c>
      <c r="E60" s="138" t="s">
        <v>346</v>
      </c>
      <c r="F60" s="282"/>
      <c r="G60" s="272"/>
      <c r="H60" s="272"/>
      <c r="I60" s="138"/>
      <c r="J60" s="138"/>
      <c r="K60" s="138"/>
      <c r="L60" s="139"/>
    </row>
    <row r="61" spans="1:12" s="126" customFormat="1" x14ac:dyDescent="0.25">
      <c r="A61" s="120">
        <v>3</v>
      </c>
      <c r="B61" s="121">
        <v>1</v>
      </c>
      <c r="C61" s="121" t="s">
        <v>747</v>
      </c>
      <c r="D61" s="122" t="s">
        <v>143</v>
      </c>
      <c r="E61" s="133" t="s">
        <v>338</v>
      </c>
      <c r="F61" s="122" t="s">
        <v>213</v>
      </c>
      <c r="G61" s="267" t="s">
        <v>259</v>
      </c>
      <c r="H61" s="267" t="s">
        <v>257</v>
      </c>
      <c r="I61" s="123"/>
      <c r="J61" s="124"/>
      <c r="K61" s="121"/>
      <c r="L61" s="286"/>
    </row>
    <row r="62" spans="1:12" s="126" customFormat="1" x14ac:dyDescent="0.25">
      <c r="A62" s="141"/>
      <c r="B62" s="142">
        <f>B61+1</f>
        <v>2</v>
      </c>
      <c r="C62" s="142" t="s">
        <v>748</v>
      </c>
      <c r="D62" s="143" t="s">
        <v>143</v>
      </c>
      <c r="E62" s="133" t="s">
        <v>338</v>
      </c>
      <c r="F62" s="143" t="s">
        <v>214</v>
      </c>
      <c r="G62" s="276" t="s">
        <v>778</v>
      </c>
      <c r="H62" s="276" t="s">
        <v>265</v>
      </c>
      <c r="I62" s="144"/>
      <c r="J62" s="145"/>
      <c r="K62" s="142"/>
      <c r="L62" s="287"/>
    </row>
    <row r="63" spans="1:12" s="126" customFormat="1" x14ac:dyDescent="0.25">
      <c r="A63" s="127"/>
      <c r="B63" s="142">
        <f t="shared" ref="B63:B76" si="3">B62+1</f>
        <v>3</v>
      </c>
      <c r="C63" s="142" t="s">
        <v>749</v>
      </c>
      <c r="D63" s="129" t="s">
        <v>143</v>
      </c>
      <c r="E63" s="133" t="s">
        <v>339</v>
      </c>
      <c r="F63" s="133" t="s">
        <v>206</v>
      </c>
      <c r="G63" s="268" t="s">
        <v>170</v>
      </c>
      <c r="H63" s="268" t="s">
        <v>202</v>
      </c>
      <c r="I63" s="133"/>
      <c r="J63" s="133"/>
      <c r="K63" s="133"/>
      <c r="L63" s="134"/>
    </row>
    <row r="64" spans="1:12" s="126" customFormat="1" x14ac:dyDescent="0.25">
      <c r="A64" s="127"/>
      <c r="B64" s="142">
        <f t="shared" si="3"/>
        <v>4</v>
      </c>
      <c r="C64" s="142" t="s">
        <v>750</v>
      </c>
      <c r="D64" s="129" t="s">
        <v>143</v>
      </c>
      <c r="E64" s="133" t="s">
        <v>339</v>
      </c>
      <c r="F64" s="133" t="s">
        <v>207</v>
      </c>
      <c r="G64" s="268" t="s">
        <v>203</v>
      </c>
      <c r="H64" s="268" t="s">
        <v>171</v>
      </c>
      <c r="I64" s="268"/>
      <c r="J64" s="133"/>
      <c r="K64" s="133"/>
      <c r="L64" s="134"/>
    </row>
    <row r="65" spans="1:12" x14ac:dyDescent="0.25">
      <c r="B65" s="128">
        <f t="shared" si="3"/>
        <v>5</v>
      </c>
      <c r="C65" s="128" t="s">
        <v>751</v>
      </c>
      <c r="D65" s="129" t="s">
        <v>143</v>
      </c>
      <c r="E65" s="133" t="s">
        <v>339</v>
      </c>
      <c r="F65" s="133" t="s">
        <v>208</v>
      </c>
      <c r="G65" s="268" t="s">
        <v>175</v>
      </c>
      <c r="H65" s="268" t="s">
        <v>779</v>
      </c>
      <c r="I65" s="268"/>
      <c r="J65" s="133"/>
      <c r="K65" s="277"/>
      <c r="L65" s="134"/>
    </row>
    <row r="66" spans="1:12" s="126" customFormat="1" x14ac:dyDescent="0.25">
      <c r="A66" s="127"/>
      <c r="B66" s="128">
        <f t="shared" si="3"/>
        <v>6</v>
      </c>
      <c r="C66" s="128" t="s">
        <v>752</v>
      </c>
      <c r="D66" s="129" t="s">
        <v>143</v>
      </c>
      <c r="E66" s="133" t="s">
        <v>339</v>
      </c>
      <c r="F66" s="133" t="s">
        <v>209</v>
      </c>
      <c r="G66" s="268" t="s">
        <v>780</v>
      </c>
      <c r="H66" s="268" t="s">
        <v>199</v>
      </c>
      <c r="I66" s="268"/>
      <c r="J66" s="133"/>
      <c r="K66" s="133"/>
      <c r="L66" s="134"/>
    </row>
    <row r="67" spans="1:12" s="126" customFormat="1" x14ac:dyDescent="0.25">
      <c r="A67" s="127"/>
      <c r="B67" s="128">
        <f t="shared" si="3"/>
        <v>7</v>
      </c>
      <c r="C67" s="128" t="s">
        <v>753</v>
      </c>
      <c r="D67" s="129" t="s">
        <v>143</v>
      </c>
      <c r="E67" s="133" t="s">
        <v>339</v>
      </c>
      <c r="F67" s="133" t="s">
        <v>210</v>
      </c>
      <c r="G67" s="268" t="s">
        <v>205</v>
      </c>
      <c r="H67" s="268" t="s">
        <v>174</v>
      </c>
      <c r="I67" s="268"/>
      <c r="J67" s="133"/>
      <c r="K67" s="133"/>
      <c r="L67" s="134"/>
    </row>
    <row r="68" spans="1:12" s="126" customFormat="1" x14ac:dyDescent="0.25">
      <c r="A68" s="127"/>
      <c r="B68" s="128">
        <f t="shared" si="3"/>
        <v>8</v>
      </c>
      <c r="C68" s="128" t="s">
        <v>754</v>
      </c>
      <c r="D68" s="129" t="s">
        <v>143</v>
      </c>
      <c r="E68" s="133" t="s">
        <v>339</v>
      </c>
      <c r="F68" s="133" t="s">
        <v>211</v>
      </c>
      <c r="G68" s="268" t="s">
        <v>173</v>
      </c>
      <c r="H68" s="268" t="s">
        <v>201</v>
      </c>
      <c r="I68" s="133"/>
      <c r="J68" s="133"/>
      <c r="K68" s="133"/>
      <c r="L68" s="134"/>
    </row>
    <row r="69" spans="1:12" s="126" customFormat="1" x14ac:dyDescent="0.25">
      <c r="A69" s="150"/>
      <c r="B69" s="128">
        <f t="shared" si="3"/>
        <v>9</v>
      </c>
      <c r="C69" s="128" t="s">
        <v>755</v>
      </c>
      <c r="D69" s="129" t="s">
        <v>143</v>
      </c>
      <c r="E69" s="152" t="s">
        <v>339</v>
      </c>
      <c r="F69" s="152" t="s">
        <v>212</v>
      </c>
      <c r="G69" s="271" t="s">
        <v>172</v>
      </c>
      <c r="H69" s="271" t="s">
        <v>204</v>
      </c>
      <c r="I69" s="152"/>
      <c r="J69" s="152"/>
      <c r="K69" s="152"/>
      <c r="L69" s="153"/>
    </row>
    <row r="70" spans="1:12" s="126" customFormat="1" x14ac:dyDescent="0.25">
      <c r="A70" s="150"/>
      <c r="B70" s="128">
        <f t="shared" si="3"/>
        <v>10</v>
      </c>
      <c r="C70" s="128" t="s">
        <v>756</v>
      </c>
      <c r="D70" s="129" t="s">
        <v>143</v>
      </c>
      <c r="E70" s="129" t="s">
        <v>336</v>
      </c>
      <c r="F70" s="130" t="s">
        <v>340</v>
      </c>
      <c r="G70" s="271" t="s">
        <v>398</v>
      </c>
      <c r="H70" s="271" t="s">
        <v>399</v>
      </c>
      <c r="I70" s="152"/>
      <c r="J70" s="152"/>
      <c r="K70" s="152"/>
      <c r="L70" s="153"/>
    </row>
    <row r="71" spans="1:12" s="126" customFormat="1" x14ac:dyDescent="0.25">
      <c r="A71" s="150"/>
      <c r="B71" s="128">
        <f t="shared" si="3"/>
        <v>11</v>
      </c>
      <c r="C71" s="128" t="s">
        <v>757</v>
      </c>
      <c r="D71" s="129" t="s">
        <v>143</v>
      </c>
      <c r="E71" s="151" t="s">
        <v>346</v>
      </c>
      <c r="F71" s="283" t="s">
        <v>350</v>
      </c>
      <c r="G71" s="271" t="s">
        <v>347</v>
      </c>
      <c r="H71" s="271" t="s">
        <v>348</v>
      </c>
      <c r="I71" s="152"/>
      <c r="J71" s="152"/>
      <c r="K71" s="152"/>
      <c r="L71" s="153"/>
    </row>
    <row r="72" spans="1:12" s="126" customFormat="1" x14ac:dyDescent="0.25">
      <c r="A72" s="150"/>
      <c r="B72" s="128">
        <f t="shared" si="3"/>
        <v>12</v>
      </c>
      <c r="C72" s="128" t="s">
        <v>758</v>
      </c>
      <c r="D72" s="129" t="s">
        <v>143</v>
      </c>
      <c r="E72" s="151" t="s">
        <v>346</v>
      </c>
      <c r="F72" s="283"/>
      <c r="G72" s="271"/>
      <c r="H72" s="271"/>
      <c r="I72" s="152"/>
      <c r="J72" s="152"/>
      <c r="K72" s="152"/>
      <c r="L72" s="153"/>
    </row>
    <row r="73" spans="1:12" s="126" customFormat="1" x14ac:dyDescent="0.25">
      <c r="A73" s="150"/>
      <c r="B73" s="128">
        <f t="shared" si="3"/>
        <v>13</v>
      </c>
      <c r="C73" s="128" t="s">
        <v>759</v>
      </c>
      <c r="D73" s="129" t="s">
        <v>143</v>
      </c>
      <c r="E73" s="151" t="s">
        <v>346</v>
      </c>
      <c r="F73" s="283" t="s">
        <v>351</v>
      </c>
      <c r="G73" s="271" t="s">
        <v>46</v>
      </c>
      <c r="H73" s="271" t="s">
        <v>53</v>
      </c>
      <c r="I73" s="152"/>
      <c r="J73" s="152"/>
      <c r="K73" s="152"/>
      <c r="L73" s="153"/>
    </row>
    <row r="74" spans="1:12" s="126" customFormat="1" x14ac:dyDescent="0.25">
      <c r="A74" s="150"/>
      <c r="B74" s="128">
        <f t="shared" si="3"/>
        <v>14</v>
      </c>
      <c r="C74" s="128" t="s">
        <v>760</v>
      </c>
      <c r="D74" s="129" t="s">
        <v>143</v>
      </c>
      <c r="E74" s="151" t="s">
        <v>346</v>
      </c>
      <c r="F74" s="283" t="s">
        <v>353</v>
      </c>
      <c r="G74" s="271" t="s">
        <v>352</v>
      </c>
      <c r="H74" s="271" t="s">
        <v>349</v>
      </c>
      <c r="I74" s="152"/>
      <c r="J74" s="152"/>
      <c r="K74" s="152"/>
      <c r="L74" s="153"/>
    </row>
    <row r="75" spans="1:12" s="126" customFormat="1" x14ac:dyDescent="0.25">
      <c r="A75" s="150"/>
      <c r="B75" s="128">
        <f t="shared" si="3"/>
        <v>15</v>
      </c>
      <c r="C75" s="128" t="s">
        <v>761</v>
      </c>
      <c r="D75" s="129" t="s">
        <v>143</v>
      </c>
      <c r="E75" s="151" t="s">
        <v>346</v>
      </c>
      <c r="F75" s="283" t="s">
        <v>354</v>
      </c>
      <c r="G75" s="271" t="s">
        <v>356</v>
      </c>
      <c r="H75" s="271" t="s">
        <v>406</v>
      </c>
      <c r="I75" s="152"/>
      <c r="J75" s="152"/>
      <c r="K75" s="152"/>
      <c r="L75" s="153"/>
    </row>
    <row r="76" spans="1:12" s="126" customFormat="1" x14ac:dyDescent="0.25">
      <c r="A76" s="150"/>
      <c r="B76" s="128">
        <f t="shared" si="3"/>
        <v>16</v>
      </c>
      <c r="C76" s="128" t="s">
        <v>762</v>
      </c>
      <c r="D76" s="129" t="s">
        <v>143</v>
      </c>
      <c r="E76" s="151" t="s">
        <v>346</v>
      </c>
      <c r="F76" s="283" t="s">
        <v>355</v>
      </c>
      <c r="G76" s="271" t="s">
        <v>357</v>
      </c>
      <c r="H76" s="271" t="s">
        <v>358</v>
      </c>
      <c r="I76" s="152"/>
      <c r="J76" s="152"/>
      <c r="K76" s="152"/>
      <c r="L76" s="153"/>
    </row>
    <row r="77" spans="1:12" s="126" customFormat="1" ht="14.4" thickBot="1" x14ac:dyDescent="0.3">
      <c r="A77" s="135"/>
      <c r="B77" s="136"/>
      <c r="C77" s="136"/>
      <c r="D77" s="137"/>
      <c r="E77" s="138"/>
      <c r="F77" s="138"/>
      <c r="G77" s="272"/>
      <c r="H77" s="272"/>
      <c r="I77" s="138"/>
      <c r="J77" s="138"/>
      <c r="K77" s="138"/>
      <c r="L77" s="139"/>
    </row>
    <row r="78" spans="1:12" x14ac:dyDescent="0.25">
      <c r="F78" s="149"/>
    </row>
    <row r="80" spans="1:12" ht="16.8" x14ac:dyDescent="0.4">
      <c r="G80" s="168"/>
    </row>
    <row r="81" spans="5:8" x14ac:dyDescent="0.25">
      <c r="E81" s="154"/>
      <c r="F81" s="155"/>
      <c r="G81" s="155"/>
      <c r="H81" s="155"/>
    </row>
    <row r="82" spans="5:8" x14ac:dyDescent="0.25">
      <c r="E82" s="154"/>
      <c r="F82" s="155"/>
      <c r="G82" s="155"/>
      <c r="H82" s="155"/>
    </row>
    <row r="83" spans="5:8" x14ac:dyDescent="0.25">
      <c r="E83" s="154"/>
      <c r="F83" s="155"/>
      <c r="G83" s="155"/>
      <c r="H83" s="155"/>
    </row>
    <row r="84" spans="5:8" x14ac:dyDescent="0.25">
      <c r="E84" s="154"/>
      <c r="F84" s="155"/>
      <c r="G84" s="155"/>
      <c r="H84" s="155"/>
    </row>
  </sheetData>
  <mergeCells count="6">
    <mergeCell ref="L61:L62"/>
    <mergeCell ref="A1:F1"/>
    <mergeCell ref="A2:L2"/>
    <mergeCell ref="L12:L14"/>
    <mergeCell ref="L40:L46"/>
    <mergeCell ref="L17:L22"/>
  </mergeCells>
  <conditionalFormatting sqref="G31:H31">
    <cfRule type="expression" dxfId="3" priority="4">
      <formula>COUNTIF($F$5:$G$59, G31)&gt;1</formula>
    </cfRule>
  </conditionalFormatting>
  <conditionalFormatting sqref="G45">
    <cfRule type="expression" dxfId="2" priority="3">
      <formula>COUNTIF($F$5:$G$44, G45)&gt;1</formula>
    </cfRule>
  </conditionalFormatting>
  <conditionalFormatting sqref="G46">
    <cfRule type="expression" dxfId="1" priority="2">
      <formula>COUNTIF($F$5:$G$44, G46)&gt;1</formula>
    </cfRule>
  </conditionalFormatting>
  <conditionalFormatting sqref="H46">
    <cfRule type="expression" dxfId="0" priority="1">
      <formula>COUNTIF($F$5:$G$44, H46)&gt;1</formula>
    </cfRule>
  </conditionalFormatting>
  <printOptions horizontalCentered="1"/>
  <pageMargins left="0" right="0" top="0.25" bottom="0.25" header="0" footer="0"/>
  <pageSetup paperSize="9" scale="78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Normal="100" workbookViewId="0">
      <selection activeCell="G19" sqref="A1:XFD1048576"/>
    </sheetView>
  </sheetViews>
  <sheetFormatPr defaultColWidth="9" defaultRowHeight="13.8" x14ac:dyDescent="0.25"/>
  <cols>
    <col min="1" max="1" width="18.69921875" style="1" customWidth="1"/>
    <col min="2" max="2" width="27.5" style="2" bestFit="1" customWidth="1"/>
    <col min="3" max="3" width="25" style="2" bestFit="1" customWidth="1"/>
    <col min="4" max="4" width="24.3984375" style="2" bestFit="1" customWidth="1"/>
    <col min="5" max="5" width="1.8984375" style="2" bestFit="1" customWidth="1"/>
    <col min="6" max="6" width="12.69921875" style="258" customWidth="1"/>
    <col min="7" max="7" width="10.3984375" style="2" customWidth="1"/>
    <col min="8" max="16384" width="9" style="2"/>
  </cols>
  <sheetData>
    <row r="1" spans="1:9" x14ac:dyDescent="0.25">
      <c r="A1" s="1" t="s">
        <v>5</v>
      </c>
      <c r="F1" s="1" t="s">
        <v>319</v>
      </c>
    </row>
    <row r="2" spans="1:9" x14ac:dyDescent="0.25">
      <c r="A2" s="1" t="s">
        <v>6</v>
      </c>
      <c r="F2" s="258" t="s">
        <v>241</v>
      </c>
      <c r="G2" s="199" t="s">
        <v>224</v>
      </c>
      <c r="H2" s="294" t="s">
        <v>232</v>
      </c>
      <c r="I2" s="295" t="s">
        <v>236</v>
      </c>
    </row>
    <row r="3" spans="1:9" x14ac:dyDescent="0.25">
      <c r="F3" s="258" t="s">
        <v>781</v>
      </c>
      <c r="G3" s="199" t="s">
        <v>225</v>
      </c>
      <c r="H3" s="294"/>
      <c r="I3" s="295"/>
    </row>
    <row r="4" spans="1:9" x14ac:dyDescent="0.25">
      <c r="A4" s="297" t="s">
        <v>359</v>
      </c>
      <c r="B4" s="297"/>
      <c r="C4" s="297"/>
      <c r="D4" s="297"/>
      <c r="E4" s="257"/>
      <c r="F4" s="257"/>
      <c r="I4" s="295"/>
    </row>
    <row r="5" spans="1:9" x14ac:dyDescent="0.25">
      <c r="A5" s="295" t="s">
        <v>11</v>
      </c>
      <c r="B5" s="295"/>
      <c r="C5" s="295"/>
      <c r="D5" s="295"/>
      <c r="E5" s="258"/>
      <c r="F5" s="258" t="s">
        <v>345</v>
      </c>
      <c r="G5" s="199" t="s">
        <v>226</v>
      </c>
      <c r="H5" s="294" t="s">
        <v>233</v>
      </c>
      <c r="I5" s="295"/>
    </row>
    <row r="6" spans="1:9" x14ac:dyDescent="0.25">
      <c r="A6" s="295" t="s">
        <v>361</v>
      </c>
      <c r="B6" s="295"/>
      <c r="C6" s="295"/>
      <c r="D6" s="295"/>
      <c r="E6" s="258"/>
      <c r="F6" s="258" t="s">
        <v>238</v>
      </c>
      <c r="G6" s="199" t="s">
        <v>227</v>
      </c>
      <c r="H6" s="294"/>
      <c r="I6" s="295"/>
    </row>
    <row r="8" spans="1:9" x14ac:dyDescent="0.25">
      <c r="A8" s="200" t="s">
        <v>7</v>
      </c>
      <c r="F8" s="258" t="s">
        <v>126</v>
      </c>
      <c r="G8" s="199" t="s">
        <v>228</v>
      </c>
      <c r="H8" s="294" t="s">
        <v>234</v>
      </c>
      <c r="I8" s="295" t="s">
        <v>237</v>
      </c>
    </row>
    <row r="9" spans="1:9" ht="14.4" thickBot="1" x14ac:dyDescent="0.3">
      <c r="F9" s="258" t="s">
        <v>239</v>
      </c>
      <c r="G9" s="199" t="s">
        <v>229</v>
      </c>
      <c r="H9" s="294"/>
      <c r="I9" s="295"/>
    </row>
    <row r="10" spans="1:9" ht="14.4" thickBot="1" x14ac:dyDescent="0.3">
      <c r="A10" s="201" t="s">
        <v>2</v>
      </c>
      <c r="B10" s="202" t="s">
        <v>222</v>
      </c>
      <c r="C10" s="202" t="s">
        <v>223</v>
      </c>
      <c r="D10" s="203" t="s">
        <v>10</v>
      </c>
      <c r="E10" s="257"/>
      <c r="F10" s="257"/>
      <c r="I10" s="295"/>
    </row>
    <row r="11" spans="1:9" x14ac:dyDescent="0.25">
      <c r="A11" s="204">
        <v>1</v>
      </c>
      <c r="B11" s="205" t="s">
        <v>241</v>
      </c>
      <c r="C11" s="205" t="s">
        <v>242</v>
      </c>
      <c r="D11" s="206"/>
      <c r="E11" s="278"/>
      <c r="F11" s="258" t="s">
        <v>782</v>
      </c>
      <c r="G11" s="199" t="s">
        <v>230</v>
      </c>
      <c r="H11" s="294" t="s">
        <v>235</v>
      </c>
      <c r="I11" s="295"/>
    </row>
    <row r="12" spans="1:9" x14ac:dyDescent="0.25">
      <c r="A12" s="7">
        <v>2</v>
      </c>
      <c r="B12" s="207" t="s">
        <v>345</v>
      </c>
      <c r="C12" s="208" t="s">
        <v>126</v>
      </c>
      <c r="D12" s="209"/>
      <c r="F12" s="258" t="s">
        <v>242</v>
      </c>
      <c r="G12" s="199" t="s">
        <v>231</v>
      </c>
      <c r="H12" s="294"/>
      <c r="I12" s="295"/>
    </row>
    <row r="13" spans="1:9" s="210" customFormat="1" x14ac:dyDescent="0.25">
      <c r="A13" s="7">
        <v>3</v>
      </c>
      <c r="B13" s="9" t="s">
        <v>1</v>
      </c>
      <c r="C13" s="105" t="s">
        <v>0</v>
      </c>
      <c r="D13" s="209"/>
      <c r="E13" s="2"/>
      <c r="F13" s="258"/>
    </row>
    <row r="14" spans="1:9" s="210" customFormat="1" ht="14.4" thickBot="1" x14ac:dyDescent="0.3">
      <c r="A14" s="12">
        <v>4</v>
      </c>
      <c r="B14" s="211" t="s">
        <v>769</v>
      </c>
      <c r="C14" s="211" t="s">
        <v>770</v>
      </c>
      <c r="D14" s="212"/>
      <c r="E14" s="2"/>
      <c r="F14" s="258"/>
    </row>
    <row r="15" spans="1:9" s="210" customFormat="1" x14ac:dyDescent="0.25">
      <c r="D15" s="2"/>
      <c r="E15" s="2"/>
      <c r="F15" s="258"/>
    </row>
    <row r="16" spans="1:9" s="210" customFormat="1" x14ac:dyDescent="0.25">
      <c r="A16" s="210" t="s">
        <v>12</v>
      </c>
      <c r="D16" s="2"/>
      <c r="E16" s="2"/>
      <c r="F16" s="258"/>
    </row>
    <row r="17" spans="1:6" s="210" customFormat="1" x14ac:dyDescent="0.25">
      <c r="A17" s="213" t="s">
        <v>364</v>
      </c>
      <c r="D17" s="2"/>
      <c r="E17" s="2"/>
      <c r="F17" s="258"/>
    </row>
    <row r="18" spans="1:6" x14ac:dyDescent="0.25">
      <c r="A18" s="214" t="s">
        <v>365</v>
      </c>
    </row>
    <row r="19" spans="1:6" x14ac:dyDescent="0.25">
      <c r="A19" s="214" t="s">
        <v>13</v>
      </c>
    </row>
    <row r="20" spans="1:6" x14ac:dyDescent="0.25">
      <c r="A20" s="258"/>
    </row>
    <row r="21" spans="1:6" x14ac:dyDescent="0.25">
      <c r="A21" s="210" t="s">
        <v>14</v>
      </c>
    </row>
    <row r="22" spans="1:6" x14ac:dyDescent="0.25">
      <c r="A22" s="2"/>
    </row>
    <row r="23" spans="1:6" s="210" customFormat="1" x14ac:dyDescent="0.25">
      <c r="A23" s="303" t="s">
        <v>3</v>
      </c>
      <c r="B23" s="199" t="s">
        <v>320</v>
      </c>
      <c r="C23" s="298" t="s">
        <v>15</v>
      </c>
      <c r="D23" s="301"/>
      <c r="E23" s="257"/>
      <c r="F23" s="257"/>
    </row>
    <row r="24" spans="1:6" ht="41.4" x14ac:dyDescent="0.25">
      <c r="A24" s="303"/>
      <c r="B24" s="215" t="s">
        <v>366</v>
      </c>
      <c r="C24" s="300"/>
      <c r="D24" s="302"/>
      <c r="E24" s="257"/>
      <c r="F24" s="257"/>
    </row>
    <row r="26" spans="1:6" x14ac:dyDescent="0.25">
      <c r="A26" s="210" t="s">
        <v>16</v>
      </c>
    </row>
    <row r="28" spans="1:6" s="210" customFormat="1" x14ac:dyDescent="0.25">
      <c r="A28" s="303" t="s">
        <v>4</v>
      </c>
      <c r="B28" s="199" t="s">
        <v>17</v>
      </c>
      <c r="C28" s="298" t="s">
        <v>20</v>
      </c>
      <c r="D28" s="301"/>
      <c r="E28" s="257"/>
      <c r="F28" s="296"/>
    </row>
    <row r="29" spans="1:6" s="210" customFormat="1" x14ac:dyDescent="0.25">
      <c r="A29" s="303"/>
      <c r="B29" s="199" t="s">
        <v>18</v>
      </c>
      <c r="C29" s="299"/>
      <c r="D29" s="302"/>
      <c r="E29" s="257"/>
      <c r="F29" s="296"/>
    </row>
    <row r="30" spans="1:6" x14ac:dyDescent="0.25">
      <c r="A30" s="303"/>
      <c r="B30" s="199" t="s">
        <v>19</v>
      </c>
      <c r="C30" s="300"/>
      <c r="D30" s="302"/>
      <c r="E30" s="257"/>
      <c r="F30" s="296"/>
    </row>
    <row r="31" spans="1:6" x14ac:dyDescent="0.25">
      <c r="A31" s="2"/>
    </row>
    <row r="32" spans="1:6" x14ac:dyDescent="0.25">
      <c r="A32" s="210" t="s">
        <v>21</v>
      </c>
    </row>
    <row r="33" spans="1:6" x14ac:dyDescent="0.25">
      <c r="A33" s="2"/>
    </row>
    <row r="34" spans="1:6" x14ac:dyDescent="0.25">
      <c r="A34" s="2" t="s">
        <v>22</v>
      </c>
      <c r="B34" s="2" t="s">
        <v>594</v>
      </c>
      <c r="C34" s="2" t="s">
        <v>29</v>
      </c>
      <c r="D34" s="257" t="s">
        <v>321</v>
      </c>
      <c r="E34" s="257"/>
      <c r="F34" s="257"/>
    </row>
    <row r="35" spans="1:6" x14ac:dyDescent="0.25">
      <c r="A35" s="2" t="s">
        <v>23</v>
      </c>
      <c r="B35" s="2" t="s">
        <v>24</v>
      </c>
      <c r="C35" s="2" t="s">
        <v>367</v>
      </c>
      <c r="D35" s="257" t="s">
        <v>322</v>
      </c>
      <c r="E35" s="257"/>
      <c r="F35" s="257"/>
    </row>
    <row r="36" spans="1:6" x14ac:dyDescent="0.25">
      <c r="A36" s="2" t="s">
        <v>23</v>
      </c>
      <c r="B36" s="2" t="s">
        <v>25</v>
      </c>
      <c r="C36" s="2" t="s">
        <v>367</v>
      </c>
      <c r="D36" s="257" t="s">
        <v>322</v>
      </c>
      <c r="E36" s="257"/>
      <c r="F36" s="257"/>
    </row>
    <row r="37" spans="1:6" x14ac:dyDescent="0.25">
      <c r="A37" s="1" t="s">
        <v>26</v>
      </c>
      <c r="B37" s="2" t="s">
        <v>27</v>
      </c>
      <c r="C37" s="2" t="s">
        <v>28</v>
      </c>
      <c r="D37" s="257" t="s">
        <v>323</v>
      </c>
      <c r="E37" s="257"/>
      <c r="F37" s="257"/>
    </row>
  </sheetData>
  <mergeCells count="16">
    <mergeCell ref="F28:F30"/>
    <mergeCell ref="A4:D4"/>
    <mergeCell ref="A5:D5"/>
    <mergeCell ref="A6:D6"/>
    <mergeCell ref="C28:C30"/>
    <mergeCell ref="D23:D24"/>
    <mergeCell ref="D28:D30"/>
    <mergeCell ref="A28:A30"/>
    <mergeCell ref="A23:A24"/>
    <mergeCell ref="C23:C24"/>
    <mergeCell ref="H2:H3"/>
    <mergeCell ref="H5:H6"/>
    <mergeCell ref="H8:H9"/>
    <mergeCell ref="H11:H12"/>
    <mergeCell ref="I2:I6"/>
    <mergeCell ref="I8:I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3"/>
  <sheetViews>
    <sheetView workbookViewId="0">
      <selection activeCell="G27" sqref="A1:XFD1048576"/>
    </sheetView>
  </sheetViews>
  <sheetFormatPr defaultColWidth="9" defaultRowHeight="13.8" x14ac:dyDescent="0.25"/>
  <cols>
    <col min="1" max="1" width="17.8984375" style="1" customWidth="1"/>
    <col min="2" max="2" width="32.59765625" style="2" customWidth="1"/>
    <col min="3" max="3" width="25.3984375" style="2" bestFit="1" customWidth="1"/>
    <col min="4" max="4" width="30.3984375" style="2" bestFit="1" customWidth="1"/>
    <col min="5" max="5" width="7.5" style="258" bestFit="1" customWidth="1"/>
    <col min="6" max="6" width="12.09765625" style="2" customWidth="1"/>
    <col min="7" max="7" width="9" style="2"/>
    <col min="8" max="8" width="14.3984375" style="2" bestFit="1" customWidth="1"/>
    <col min="9" max="16384" width="9" style="2"/>
  </cols>
  <sheetData>
    <row r="1" spans="1:8" x14ac:dyDescent="0.25">
      <c r="A1" s="1" t="s">
        <v>5</v>
      </c>
    </row>
    <row r="2" spans="1:8" x14ac:dyDescent="0.25">
      <c r="A2" s="1" t="s">
        <v>6</v>
      </c>
    </row>
    <row r="4" spans="1:8" x14ac:dyDescent="0.25">
      <c r="A4" s="297" t="s">
        <v>360</v>
      </c>
      <c r="B4" s="297"/>
      <c r="C4" s="297"/>
      <c r="D4" s="297"/>
    </row>
    <row r="5" spans="1:8" x14ac:dyDescent="0.25">
      <c r="A5" s="295" t="str">
        <f>'[1]BĐ Nam'!A5:D5</f>
        <v>Địa điểm: Khu liên hiệp thể thao Thanh Hà - Hà Nội</v>
      </c>
      <c r="B5" s="295"/>
      <c r="C5" s="295"/>
      <c r="D5" s="295"/>
    </row>
    <row r="6" spans="1:8" x14ac:dyDescent="0.25">
      <c r="A6" s="295" t="s">
        <v>361</v>
      </c>
      <c r="B6" s="295"/>
      <c r="C6" s="295"/>
      <c r="D6" s="295"/>
    </row>
    <row r="8" spans="1:8" x14ac:dyDescent="0.25">
      <c r="A8" s="200" t="s">
        <v>7</v>
      </c>
    </row>
    <row r="9" spans="1:8" ht="14.4" thickBot="1" x14ac:dyDescent="0.3"/>
    <row r="10" spans="1:8" ht="14.4" thickBot="1" x14ac:dyDescent="0.3">
      <c r="A10" s="201" t="s">
        <v>2</v>
      </c>
      <c r="B10" s="202" t="s">
        <v>8</v>
      </c>
      <c r="C10" s="202" t="s">
        <v>9</v>
      </c>
      <c r="D10" s="203" t="s">
        <v>10</v>
      </c>
      <c r="E10" s="257" t="s">
        <v>240</v>
      </c>
      <c r="G10" s="258" t="s">
        <v>267</v>
      </c>
      <c r="H10" s="258" t="s">
        <v>324</v>
      </c>
    </row>
    <row r="11" spans="1:8" ht="14.25" customHeight="1" x14ac:dyDescent="0.25">
      <c r="A11" s="204">
        <v>1</v>
      </c>
      <c r="B11" s="216">
        <v>28</v>
      </c>
      <c r="C11" s="217">
        <v>4</v>
      </c>
      <c r="D11" s="6" t="s">
        <v>30</v>
      </c>
      <c r="E11" s="257">
        <f>B11+C11</f>
        <v>32</v>
      </c>
      <c r="G11" s="258">
        <v>18</v>
      </c>
      <c r="H11" s="258">
        <v>4</v>
      </c>
    </row>
    <row r="12" spans="1:8" x14ac:dyDescent="0.25">
      <c r="A12" s="7">
        <v>2</v>
      </c>
      <c r="B12" s="218">
        <v>18</v>
      </c>
      <c r="C12" s="218">
        <v>6</v>
      </c>
      <c r="D12" s="209" t="s">
        <v>31</v>
      </c>
      <c r="E12" s="257">
        <f>B12+C12</f>
        <v>24</v>
      </c>
      <c r="G12" s="258">
        <v>16</v>
      </c>
      <c r="H12" s="258">
        <v>3.5</v>
      </c>
    </row>
    <row r="13" spans="1:8" s="210" customFormat="1" ht="14.4" thickBot="1" x14ac:dyDescent="0.3">
      <c r="A13" s="12">
        <v>3</v>
      </c>
      <c r="B13" s="219">
        <v>10</v>
      </c>
      <c r="C13" s="219">
        <v>6</v>
      </c>
      <c r="D13" s="212" t="s">
        <v>32</v>
      </c>
      <c r="E13" s="257">
        <f>B13+C13</f>
        <v>16</v>
      </c>
      <c r="F13" s="2"/>
      <c r="G13" s="258">
        <v>6</v>
      </c>
      <c r="H13" s="258">
        <v>5</v>
      </c>
    </row>
    <row r="14" spans="1:8" s="210" customFormat="1" x14ac:dyDescent="0.25">
      <c r="D14" s="2"/>
      <c r="E14" s="257">
        <f>SUM(E11:E13)</f>
        <v>72</v>
      </c>
    </row>
    <row r="15" spans="1:8" s="210" customFormat="1" x14ac:dyDescent="0.25">
      <c r="A15" s="210" t="s">
        <v>12</v>
      </c>
      <c r="D15" s="2"/>
      <c r="E15" s="257"/>
    </row>
    <row r="16" spans="1:8" s="210" customFormat="1" x14ac:dyDescent="0.25">
      <c r="A16" s="214" t="s">
        <v>389</v>
      </c>
      <c r="D16" s="220"/>
      <c r="E16" s="257"/>
    </row>
    <row r="17" spans="1:5" s="210" customFormat="1" x14ac:dyDescent="0.25">
      <c r="A17" s="214" t="s">
        <v>369</v>
      </c>
      <c r="B17" s="258" t="s">
        <v>373</v>
      </c>
      <c r="C17" s="1" t="s">
        <v>333</v>
      </c>
      <c r="D17" s="220"/>
      <c r="E17" s="257"/>
    </row>
    <row r="18" spans="1:5" s="210" customFormat="1" x14ac:dyDescent="0.25">
      <c r="A18" s="214" t="s">
        <v>368</v>
      </c>
      <c r="D18" s="220"/>
      <c r="E18" s="257"/>
    </row>
    <row r="19" spans="1:5" s="210" customFormat="1" x14ac:dyDescent="0.25">
      <c r="A19" s="214" t="s">
        <v>370</v>
      </c>
      <c r="D19" s="220"/>
      <c r="E19" s="257"/>
    </row>
    <row r="20" spans="1:5" s="210" customFormat="1" x14ac:dyDescent="0.25">
      <c r="A20" s="221" t="s">
        <v>371</v>
      </c>
      <c r="B20" s="2" t="s">
        <v>374</v>
      </c>
      <c r="D20" s="220"/>
      <c r="E20" s="257"/>
    </row>
    <row r="21" spans="1:5" s="210" customFormat="1" x14ac:dyDescent="0.25">
      <c r="A21" s="221" t="s">
        <v>372</v>
      </c>
      <c r="B21" s="2" t="s">
        <v>375</v>
      </c>
      <c r="D21" s="220"/>
      <c r="E21" s="257"/>
    </row>
    <row r="22" spans="1:5" s="210" customFormat="1" x14ac:dyDescent="0.25">
      <c r="A22" s="214"/>
      <c r="B22" s="2" t="s">
        <v>376</v>
      </c>
      <c r="D22" s="220"/>
      <c r="E22" s="257"/>
    </row>
    <row r="23" spans="1:5" x14ac:dyDescent="0.25">
      <c r="A23" s="221" t="s">
        <v>377</v>
      </c>
      <c r="B23" s="2" t="s">
        <v>386</v>
      </c>
    </row>
    <row r="24" spans="1:5" x14ac:dyDescent="0.25">
      <c r="A24" s="213"/>
      <c r="B24" s="2" t="s">
        <v>379</v>
      </c>
    </row>
    <row r="25" spans="1:5" x14ac:dyDescent="0.25">
      <c r="A25" s="221" t="s">
        <v>378</v>
      </c>
      <c r="B25" s="2" t="s">
        <v>380</v>
      </c>
    </row>
    <row r="26" spans="1:5" x14ac:dyDescent="0.25">
      <c r="A26" s="214" t="s">
        <v>381</v>
      </c>
    </row>
    <row r="27" spans="1:5" x14ac:dyDescent="0.25">
      <c r="A27" s="221" t="s">
        <v>371</v>
      </c>
      <c r="B27" s="2" t="s">
        <v>382</v>
      </c>
    </row>
    <row r="28" spans="1:5" x14ac:dyDescent="0.25">
      <c r="A28" s="221" t="s">
        <v>372</v>
      </c>
      <c r="B28" s="2" t="s">
        <v>383</v>
      </c>
      <c r="C28" s="210"/>
      <c r="D28" s="220"/>
    </row>
    <row r="29" spans="1:5" x14ac:dyDescent="0.25">
      <c r="A29" s="214"/>
      <c r="B29" s="2" t="s">
        <v>384</v>
      </c>
      <c r="C29" s="210"/>
      <c r="D29" s="220"/>
    </row>
    <row r="30" spans="1:5" x14ac:dyDescent="0.25">
      <c r="A30" s="221" t="s">
        <v>377</v>
      </c>
      <c r="B30" s="2" t="s">
        <v>387</v>
      </c>
    </row>
    <row r="31" spans="1:5" x14ac:dyDescent="0.25">
      <c r="A31" s="213"/>
      <c r="B31" s="2" t="s">
        <v>385</v>
      </c>
    </row>
    <row r="32" spans="1:5" x14ac:dyDescent="0.25">
      <c r="A32" s="214" t="s">
        <v>388</v>
      </c>
    </row>
    <row r="33" spans="1:9" x14ac:dyDescent="0.25">
      <c r="A33" s="221" t="s">
        <v>390</v>
      </c>
      <c r="B33" s="2" t="s">
        <v>391</v>
      </c>
    </row>
    <row r="34" spans="1:9" x14ac:dyDescent="0.25">
      <c r="A34" s="213"/>
      <c r="B34" s="2" t="s">
        <v>397</v>
      </c>
    </row>
    <row r="35" spans="1:9" x14ac:dyDescent="0.25">
      <c r="A35" s="214" t="s">
        <v>392</v>
      </c>
      <c r="B35" s="258" t="s">
        <v>373</v>
      </c>
      <c r="C35" s="1" t="s">
        <v>333</v>
      </c>
    </row>
    <row r="36" spans="1:9" x14ac:dyDescent="0.25">
      <c r="A36" s="221" t="s">
        <v>393</v>
      </c>
      <c r="B36" s="258" t="s">
        <v>394</v>
      </c>
      <c r="C36" s="1" t="s">
        <v>334</v>
      </c>
    </row>
    <row r="37" spans="1:9" x14ac:dyDescent="0.25">
      <c r="A37" s="214" t="s">
        <v>395</v>
      </c>
    </row>
    <row r="38" spans="1:9" x14ac:dyDescent="0.25">
      <c r="A38" s="214" t="s">
        <v>13</v>
      </c>
    </row>
    <row r="39" spans="1:9" x14ac:dyDescent="0.25">
      <c r="D39" s="220"/>
      <c r="F39" s="1"/>
    </row>
    <row r="40" spans="1:9" x14ac:dyDescent="0.25">
      <c r="A40" s="210" t="s">
        <v>14</v>
      </c>
      <c r="F40" s="258"/>
    </row>
    <row r="41" spans="1:9" x14ac:dyDescent="0.25">
      <c r="A41" s="2"/>
      <c r="F41" s="258"/>
      <c r="I41" s="210"/>
    </row>
    <row r="42" spans="1:9" s="210" customFormat="1" ht="15" customHeight="1" x14ac:dyDescent="0.25">
      <c r="A42" s="307" t="s">
        <v>3</v>
      </c>
      <c r="B42" s="215" t="s">
        <v>325</v>
      </c>
      <c r="C42" s="298" t="s">
        <v>396</v>
      </c>
      <c r="D42" s="2"/>
      <c r="E42" s="257"/>
      <c r="F42" s="257"/>
      <c r="G42" s="257"/>
    </row>
    <row r="43" spans="1:9" s="210" customFormat="1" ht="27.6" x14ac:dyDescent="0.25">
      <c r="A43" s="308"/>
      <c r="B43" s="215" t="s">
        <v>326</v>
      </c>
      <c r="C43" s="300"/>
      <c r="D43" s="2"/>
      <c r="E43" s="257"/>
      <c r="F43" s="257"/>
      <c r="G43" s="257"/>
    </row>
    <row r="44" spans="1:9" x14ac:dyDescent="0.25">
      <c r="F44" s="257"/>
      <c r="G44" s="257"/>
    </row>
    <row r="45" spans="1:9" x14ac:dyDescent="0.25">
      <c r="A45" s="210" t="s">
        <v>16</v>
      </c>
    </row>
    <row r="47" spans="1:9" s="210" customFormat="1" x14ac:dyDescent="0.25">
      <c r="A47" s="303" t="s">
        <v>4</v>
      </c>
      <c r="B47" s="304" t="s">
        <v>327</v>
      </c>
      <c r="C47" s="298" t="s">
        <v>329</v>
      </c>
      <c r="D47" s="279"/>
      <c r="E47" s="258"/>
    </row>
    <row r="48" spans="1:9" s="210" customFormat="1" x14ac:dyDescent="0.25">
      <c r="A48" s="303"/>
      <c r="B48" s="305"/>
      <c r="C48" s="299"/>
      <c r="D48" s="279"/>
      <c r="E48" s="258"/>
    </row>
    <row r="49" spans="1:4" ht="14.25" customHeight="1" x14ac:dyDescent="0.25">
      <c r="A49" s="303"/>
      <c r="B49" s="306"/>
      <c r="C49" s="300"/>
      <c r="D49" s="279"/>
    </row>
    <row r="50" spans="1:4" x14ac:dyDescent="0.25">
      <c r="A50" s="2"/>
    </row>
    <row r="51" spans="1:4" x14ac:dyDescent="0.25">
      <c r="A51" s="2" t="s">
        <v>328</v>
      </c>
    </row>
    <row r="52" spans="1:4" x14ac:dyDescent="0.25">
      <c r="A52" s="2">
        <v>1</v>
      </c>
      <c r="B52" s="2" t="s">
        <v>48</v>
      </c>
      <c r="C52" s="2" t="s">
        <v>47</v>
      </c>
      <c r="D52" s="2" t="s">
        <v>44</v>
      </c>
    </row>
    <row r="53" spans="1:4" x14ac:dyDescent="0.25">
      <c r="A53" s="2">
        <v>2</v>
      </c>
      <c r="B53" s="2" t="s">
        <v>48</v>
      </c>
      <c r="C53" s="2" t="s">
        <v>330</v>
      </c>
      <c r="D53" s="2" t="s">
        <v>331</v>
      </c>
    </row>
    <row r="54" spans="1:4" x14ac:dyDescent="0.25">
      <c r="A54" s="2">
        <v>3</v>
      </c>
      <c r="B54" s="2" t="s">
        <v>48</v>
      </c>
      <c r="C54" s="2" t="s">
        <v>50</v>
      </c>
      <c r="D54" s="2" t="s">
        <v>45</v>
      </c>
    </row>
    <row r="55" spans="1:4" x14ac:dyDescent="0.25">
      <c r="A55" s="2">
        <v>4</v>
      </c>
      <c r="B55" s="2" t="s">
        <v>48</v>
      </c>
      <c r="C55" s="2" t="s">
        <v>128</v>
      </c>
      <c r="D55" s="2" t="s">
        <v>332</v>
      </c>
    </row>
    <row r="56" spans="1:4" x14ac:dyDescent="0.25">
      <c r="A56" s="2">
        <v>5</v>
      </c>
      <c r="B56" s="2" t="s">
        <v>48</v>
      </c>
      <c r="C56" s="2" t="s">
        <v>37</v>
      </c>
      <c r="D56" s="2" t="s">
        <v>43</v>
      </c>
    </row>
    <row r="57" spans="1:4" x14ac:dyDescent="0.25">
      <c r="A57" s="2">
        <v>6</v>
      </c>
      <c r="B57" s="2" t="s">
        <v>48</v>
      </c>
      <c r="C57" s="2" t="s">
        <v>49</v>
      </c>
      <c r="D57" s="2" t="s">
        <v>42</v>
      </c>
    </row>
    <row r="58" spans="1:4" x14ac:dyDescent="0.25">
      <c r="A58" s="2">
        <v>7</v>
      </c>
      <c r="B58" s="2" t="s">
        <v>48</v>
      </c>
      <c r="C58" s="2" t="s">
        <v>51</v>
      </c>
      <c r="D58" s="2" t="s">
        <v>52</v>
      </c>
    </row>
    <row r="59" spans="1:4" x14ac:dyDescent="0.25">
      <c r="A59" s="2"/>
    </row>
    <row r="60" spans="1:4" x14ac:dyDescent="0.25">
      <c r="A60" s="210" t="s">
        <v>21</v>
      </c>
    </row>
    <row r="61" spans="1:4" x14ac:dyDescent="0.25">
      <c r="A61" s="2"/>
    </row>
    <row r="62" spans="1:4" ht="14.25" customHeight="1" x14ac:dyDescent="0.25">
      <c r="A62" s="2" t="s">
        <v>22</v>
      </c>
      <c r="B62" s="2" t="s">
        <v>34</v>
      </c>
      <c r="C62" s="2" t="s">
        <v>33</v>
      </c>
      <c r="D62" s="257" t="s">
        <v>39</v>
      </c>
    </row>
    <row r="63" spans="1:4" x14ac:dyDescent="0.25">
      <c r="A63" s="1" t="s">
        <v>26</v>
      </c>
      <c r="B63" s="2" t="s">
        <v>35</v>
      </c>
      <c r="C63" s="2" t="s">
        <v>36</v>
      </c>
      <c r="D63" s="257" t="str">
        <f>'[1]BĐ Nam'!D37</f>
        <v>Giá TK: tính cùng Ban Hậu cần</v>
      </c>
    </row>
  </sheetData>
  <mergeCells count="8">
    <mergeCell ref="A47:A49"/>
    <mergeCell ref="C47:C49"/>
    <mergeCell ref="B47:B49"/>
    <mergeCell ref="A4:D4"/>
    <mergeCell ref="A5:D5"/>
    <mergeCell ref="A6:D6"/>
    <mergeCell ref="C42:C43"/>
    <mergeCell ref="A42:A4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48"/>
  <sheetViews>
    <sheetView zoomScaleNormal="100" workbookViewId="0">
      <selection activeCell="J17" sqref="J17"/>
    </sheetView>
  </sheetViews>
  <sheetFormatPr defaultColWidth="9" defaultRowHeight="13.8" x14ac:dyDescent="0.25"/>
  <cols>
    <col min="1" max="1" width="5.69921875" style="258" customWidth="1"/>
    <col min="2" max="2" width="6.5" style="258" bestFit="1" customWidth="1"/>
    <col min="3" max="3" width="7" style="258" bestFit="1" customWidth="1"/>
    <col min="4" max="4" width="5.8984375" style="258" bestFit="1" customWidth="1"/>
    <col min="5" max="8" width="9" style="258" bestFit="1" customWidth="1"/>
    <col min="9" max="10" width="9.19921875" style="258" bestFit="1" customWidth="1"/>
    <col min="11" max="11" width="9" style="258" bestFit="1" customWidth="1"/>
    <col min="12" max="12" width="7.69921875" style="258" bestFit="1" customWidth="1"/>
    <col min="13" max="13" width="8" style="258" bestFit="1" customWidth="1"/>
    <col min="14" max="14" width="32.69921875" style="2" customWidth="1"/>
    <col min="15" max="15" width="32.3984375" style="2" customWidth="1"/>
    <col min="16" max="16" width="11" style="2" customWidth="1"/>
    <col min="17" max="16384" width="9" style="2"/>
  </cols>
  <sheetData>
    <row r="1" spans="1:19" x14ac:dyDescent="0.25">
      <c r="A1" s="1" t="s">
        <v>5</v>
      </c>
    </row>
    <row r="2" spans="1:19" x14ac:dyDescent="0.25">
      <c r="A2" s="1" t="s">
        <v>6</v>
      </c>
      <c r="R2" s="102" t="s">
        <v>268</v>
      </c>
    </row>
    <row r="3" spans="1:19" x14ac:dyDescent="0.25">
      <c r="A3" s="297" t="s">
        <v>38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R3" s="2" t="s">
        <v>269</v>
      </c>
    </row>
    <row r="4" spans="1:19" x14ac:dyDescent="0.25">
      <c r="A4" s="295" t="s">
        <v>11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R4" s="2" t="s">
        <v>270</v>
      </c>
    </row>
    <row r="5" spans="1:19" x14ac:dyDescent="0.25">
      <c r="A5" s="295" t="s">
        <v>40</v>
      </c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R5" s="2" t="s">
        <v>271</v>
      </c>
    </row>
    <row r="6" spans="1:19" ht="14.4" thickBot="1" x14ac:dyDescent="0.3">
      <c r="E6" s="261" t="s">
        <v>612</v>
      </c>
      <c r="G6" s="232" t="s">
        <v>613</v>
      </c>
      <c r="I6" s="260" t="s">
        <v>689</v>
      </c>
    </row>
    <row r="7" spans="1:19" ht="14.4" thickBot="1" x14ac:dyDescent="0.3">
      <c r="A7" s="312" t="s">
        <v>2</v>
      </c>
      <c r="B7" s="315" t="s">
        <v>274</v>
      </c>
      <c r="C7" s="315" t="s">
        <v>275</v>
      </c>
      <c r="D7" s="315" t="s">
        <v>273</v>
      </c>
      <c r="E7" s="309" t="s">
        <v>272</v>
      </c>
      <c r="F7" s="310"/>
      <c r="G7" s="310"/>
      <c r="H7" s="310"/>
      <c r="I7" s="310"/>
      <c r="J7" s="310"/>
      <c r="K7" s="310"/>
      <c r="L7" s="310"/>
      <c r="M7" s="318"/>
      <c r="N7" s="319" t="s">
        <v>41</v>
      </c>
      <c r="O7" s="321" t="s">
        <v>10</v>
      </c>
      <c r="P7" s="322"/>
      <c r="R7" s="2">
        <v>24</v>
      </c>
      <c r="S7" s="2" t="s">
        <v>278</v>
      </c>
    </row>
    <row r="8" spans="1:19" ht="14.4" thickBot="1" x14ac:dyDescent="0.3">
      <c r="A8" s="313"/>
      <c r="B8" s="316"/>
      <c r="C8" s="316"/>
      <c r="D8" s="316"/>
      <c r="E8" s="309" t="s">
        <v>783</v>
      </c>
      <c r="F8" s="310"/>
      <c r="G8" s="310"/>
      <c r="H8" s="310"/>
      <c r="I8" s="310"/>
      <c r="J8" s="310"/>
      <c r="K8" s="311"/>
      <c r="L8" s="326" t="s">
        <v>280</v>
      </c>
      <c r="M8" s="318"/>
      <c r="N8" s="320"/>
      <c r="O8" s="302"/>
      <c r="P8" s="323"/>
      <c r="R8" s="2">
        <v>16</v>
      </c>
      <c r="S8" s="2" t="s">
        <v>279</v>
      </c>
    </row>
    <row r="9" spans="1:19" ht="14.4" thickBot="1" x14ac:dyDescent="0.3">
      <c r="A9" s="314"/>
      <c r="B9" s="317"/>
      <c r="C9" s="317"/>
      <c r="D9" s="317"/>
      <c r="E9" s="259" t="s">
        <v>281</v>
      </c>
      <c r="F9" s="259" t="s">
        <v>282</v>
      </c>
      <c r="G9" s="280" t="s">
        <v>784</v>
      </c>
      <c r="H9" s="280" t="s">
        <v>785</v>
      </c>
      <c r="I9" s="280" t="s">
        <v>786</v>
      </c>
      <c r="J9" s="280" t="s">
        <v>787</v>
      </c>
      <c r="K9" s="280" t="s">
        <v>788</v>
      </c>
      <c r="L9" s="259" t="s">
        <v>281</v>
      </c>
      <c r="M9" s="259" t="s">
        <v>282</v>
      </c>
      <c r="N9" s="317"/>
      <c r="O9" s="324"/>
      <c r="P9" s="325"/>
    </row>
    <row r="10" spans="1:19" x14ac:dyDescent="0.25">
      <c r="A10" s="3" t="s">
        <v>54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5"/>
      <c r="P10" s="6"/>
      <c r="R10" s="2">
        <v>32</v>
      </c>
      <c r="S10" s="2" t="s">
        <v>277</v>
      </c>
    </row>
    <row r="11" spans="1:19" ht="16.5" customHeight="1" x14ac:dyDescent="0.25">
      <c r="A11" s="7">
        <v>1</v>
      </c>
      <c r="B11" s="8">
        <v>0.33333333333333331</v>
      </c>
      <c r="C11" s="8">
        <v>0.35416666666666669</v>
      </c>
      <c r="D11" s="8">
        <f>C11-B11</f>
        <v>2.083333333333337E-2</v>
      </c>
      <c r="E11" s="330" t="s">
        <v>276</v>
      </c>
      <c r="F11" s="331"/>
      <c r="G11" s="331"/>
      <c r="H11" s="331"/>
      <c r="I11" s="331"/>
      <c r="J11" s="331"/>
      <c r="K11" s="331"/>
      <c r="L11" s="331"/>
      <c r="M11" s="332"/>
      <c r="N11" s="9" t="s">
        <v>288</v>
      </c>
      <c r="O11" s="9" t="s">
        <v>55</v>
      </c>
      <c r="P11" s="327" t="s">
        <v>317</v>
      </c>
    </row>
    <row r="12" spans="1:19" x14ac:dyDescent="0.25">
      <c r="A12" s="7">
        <f>A11+1</f>
        <v>2</v>
      </c>
      <c r="B12" s="8">
        <f t="shared" ref="B12" si="0">C11</f>
        <v>0.35416666666666669</v>
      </c>
      <c r="C12" s="8">
        <v>0.36458333333333331</v>
      </c>
      <c r="D12" s="8">
        <f>C12-B12</f>
        <v>1.041666666666663E-2</v>
      </c>
      <c r="E12" s="106" t="s">
        <v>408</v>
      </c>
      <c r="F12" s="106" t="s">
        <v>409</v>
      </c>
      <c r="G12" s="106" t="s">
        <v>410</v>
      </c>
      <c r="H12" s="106" t="s">
        <v>411</v>
      </c>
      <c r="I12" s="106" t="s">
        <v>412</v>
      </c>
      <c r="J12" s="242" t="s">
        <v>408</v>
      </c>
      <c r="K12" s="242" t="s">
        <v>409</v>
      </c>
      <c r="L12" s="338" t="s">
        <v>283</v>
      </c>
      <c r="M12" s="338" t="s">
        <v>284</v>
      </c>
      <c r="N12" s="10" t="s">
        <v>617</v>
      </c>
      <c r="O12" s="333" t="s">
        <v>301</v>
      </c>
      <c r="P12" s="328"/>
    </row>
    <row r="13" spans="1:19" x14ac:dyDescent="0.25">
      <c r="A13" s="7">
        <f t="shared" ref="A13:A35" si="1">A12+1</f>
        <v>3</v>
      </c>
      <c r="B13" s="8">
        <f>C12</f>
        <v>0.36458333333333331</v>
      </c>
      <c r="C13" s="8">
        <v>0.375</v>
      </c>
      <c r="D13" s="8">
        <f t="shared" ref="D13:D35" si="2">C13-B13</f>
        <v>1.0416666666666685E-2</v>
      </c>
      <c r="E13" s="106" t="s">
        <v>413</v>
      </c>
      <c r="F13" s="106" t="s">
        <v>414</v>
      </c>
      <c r="G13" s="106" t="s">
        <v>415</v>
      </c>
      <c r="H13" s="106" t="s">
        <v>416</v>
      </c>
      <c r="I13" s="106" t="s">
        <v>417</v>
      </c>
      <c r="J13" s="242" t="s">
        <v>410</v>
      </c>
      <c r="K13" s="242" t="s">
        <v>411</v>
      </c>
      <c r="L13" s="339"/>
      <c r="M13" s="339"/>
      <c r="N13" s="10"/>
      <c r="O13" s="334"/>
      <c r="P13" s="328"/>
    </row>
    <row r="14" spans="1:19" x14ac:dyDescent="0.25">
      <c r="A14" s="7">
        <f t="shared" si="1"/>
        <v>4</v>
      </c>
      <c r="B14" s="8">
        <f>C13</f>
        <v>0.375</v>
      </c>
      <c r="C14" s="8">
        <v>0.38541666666666669</v>
      </c>
      <c r="D14" s="8">
        <f t="shared" si="2"/>
        <v>1.0416666666666685E-2</v>
      </c>
      <c r="E14" s="106" t="s">
        <v>418</v>
      </c>
      <c r="F14" s="106" t="s">
        <v>419</v>
      </c>
      <c r="G14" s="106" t="s">
        <v>420</v>
      </c>
      <c r="H14" s="106" t="s">
        <v>421</v>
      </c>
      <c r="I14" s="106" t="s">
        <v>422</v>
      </c>
      <c r="J14" s="242" t="s">
        <v>412</v>
      </c>
      <c r="K14" s="242" t="s">
        <v>413</v>
      </c>
      <c r="L14" s="339"/>
      <c r="M14" s="339"/>
      <c r="N14" s="10"/>
      <c r="O14" s="334"/>
      <c r="P14" s="328"/>
    </row>
    <row r="15" spans="1:19" x14ac:dyDescent="0.25">
      <c r="A15" s="7">
        <f t="shared" si="1"/>
        <v>5</v>
      </c>
      <c r="B15" s="8">
        <f>C14</f>
        <v>0.38541666666666669</v>
      </c>
      <c r="C15" s="8">
        <v>0.39583333333333331</v>
      </c>
      <c r="D15" s="8">
        <f t="shared" si="2"/>
        <v>1.041666666666663E-2</v>
      </c>
      <c r="E15" s="244" t="s">
        <v>458</v>
      </c>
      <c r="F15" s="244" t="s">
        <v>466</v>
      </c>
      <c r="G15" s="244" t="s">
        <v>459</v>
      </c>
      <c r="H15" s="244" t="s">
        <v>467</v>
      </c>
      <c r="I15" s="106" t="s">
        <v>423</v>
      </c>
      <c r="J15" s="242" t="s">
        <v>414</v>
      </c>
      <c r="K15" s="242" t="s">
        <v>415</v>
      </c>
      <c r="L15" s="347"/>
      <c r="M15" s="347"/>
      <c r="N15" s="245" t="s">
        <v>618</v>
      </c>
      <c r="O15" s="334"/>
      <c r="P15" s="328"/>
    </row>
    <row r="16" spans="1:19" x14ac:dyDescent="0.25">
      <c r="A16" s="7"/>
      <c r="B16" s="8"/>
      <c r="C16" s="8"/>
      <c r="D16" s="8"/>
      <c r="E16" s="330" t="s">
        <v>621</v>
      </c>
      <c r="F16" s="331"/>
      <c r="G16" s="331"/>
      <c r="H16" s="331"/>
      <c r="I16" s="331"/>
      <c r="J16" s="331"/>
      <c r="K16" s="331"/>
      <c r="L16" s="331"/>
      <c r="M16" s="332"/>
      <c r="N16" s="10"/>
      <c r="O16" s="334"/>
      <c r="P16" s="328"/>
    </row>
    <row r="17" spans="1:16" x14ac:dyDescent="0.25">
      <c r="A17" s="7">
        <f>A15+1</f>
        <v>6</v>
      </c>
      <c r="B17" s="8">
        <f>C15</f>
        <v>0.39583333333333331</v>
      </c>
      <c r="C17" s="8">
        <v>0.40625</v>
      </c>
      <c r="D17" s="8">
        <f t="shared" si="2"/>
        <v>1.0416666666666685E-2</v>
      </c>
      <c r="E17" s="244" t="s">
        <v>460</v>
      </c>
      <c r="F17" s="244" t="s">
        <v>468</v>
      </c>
      <c r="G17" s="244" t="s">
        <v>461</v>
      </c>
      <c r="H17" s="244" t="s">
        <v>469</v>
      </c>
      <c r="I17" s="244" t="s">
        <v>462</v>
      </c>
      <c r="J17" s="246" t="s">
        <v>458</v>
      </c>
      <c r="K17" s="246" t="s">
        <v>462</v>
      </c>
      <c r="L17" s="338" t="s">
        <v>285</v>
      </c>
      <c r="M17" s="338" t="s">
        <v>286</v>
      </c>
      <c r="N17" s="10"/>
      <c r="O17" s="334"/>
      <c r="P17" s="328"/>
    </row>
    <row r="18" spans="1:16" x14ac:dyDescent="0.25">
      <c r="A18" s="7">
        <f t="shared" si="1"/>
        <v>7</v>
      </c>
      <c r="B18" s="8">
        <f>C17</f>
        <v>0.40625</v>
      </c>
      <c r="C18" s="8">
        <v>0.41666666666666669</v>
      </c>
      <c r="D18" s="8">
        <f t="shared" si="2"/>
        <v>1.0416666666666685E-2</v>
      </c>
      <c r="E18" s="244" t="s">
        <v>470</v>
      </c>
      <c r="F18" s="244" t="s">
        <v>463</v>
      </c>
      <c r="G18" s="244" t="s">
        <v>471</v>
      </c>
      <c r="H18" s="244" t="s">
        <v>464</v>
      </c>
      <c r="I18" s="244" t="s">
        <v>472</v>
      </c>
      <c r="J18" s="246" t="s">
        <v>459</v>
      </c>
      <c r="K18" s="246" t="s">
        <v>463</v>
      </c>
      <c r="L18" s="339"/>
      <c r="M18" s="339"/>
      <c r="N18" s="10"/>
      <c r="O18" s="334"/>
      <c r="P18" s="328"/>
    </row>
    <row r="19" spans="1:16" x14ac:dyDescent="0.25">
      <c r="A19" s="7">
        <f t="shared" si="1"/>
        <v>8</v>
      </c>
      <c r="B19" s="8">
        <f t="shared" ref="B19:B35" si="3">C18</f>
        <v>0.41666666666666669</v>
      </c>
      <c r="C19" s="8">
        <v>0.42708333333333331</v>
      </c>
      <c r="D19" s="8">
        <f t="shared" si="2"/>
        <v>1.041666666666663E-2</v>
      </c>
      <c r="E19" s="244" t="s">
        <v>465</v>
      </c>
      <c r="F19" s="244" t="s">
        <v>473</v>
      </c>
      <c r="G19" s="106" t="s">
        <v>532</v>
      </c>
      <c r="H19" s="246" t="s">
        <v>461</v>
      </c>
      <c r="I19" s="246" t="s">
        <v>465</v>
      </c>
      <c r="J19" s="246" t="s">
        <v>460</v>
      </c>
      <c r="K19" s="246" t="s">
        <v>464</v>
      </c>
      <c r="L19" s="339"/>
      <c r="M19" s="339"/>
      <c r="N19" s="10" t="s">
        <v>619</v>
      </c>
      <c r="O19" s="334"/>
      <c r="P19" s="328"/>
    </row>
    <row r="20" spans="1:16" x14ac:dyDescent="0.25">
      <c r="A20" s="7">
        <f t="shared" si="1"/>
        <v>9</v>
      </c>
      <c r="B20" s="8">
        <f t="shared" si="3"/>
        <v>0.42708333333333331</v>
      </c>
      <c r="C20" s="8">
        <v>0.4375</v>
      </c>
      <c r="D20" s="8">
        <f t="shared" si="2"/>
        <v>1.0416666666666685E-2</v>
      </c>
      <c r="E20" s="106" t="s">
        <v>533</v>
      </c>
      <c r="F20" s="106" t="s">
        <v>534</v>
      </c>
      <c r="G20" s="106" t="s">
        <v>535</v>
      </c>
      <c r="H20" s="106" t="s">
        <v>536</v>
      </c>
      <c r="I20" s="106" t="s">
        <v>537</v>
      </c>
      <c r="J20" s="106" t="s">
        <v>538</v>
      </c>
      <c r="K20" s="106" t="s">
        <v>539</v>
      </c>
      <c r="L20" s="347"/>
      <c r="M20" s="347"/>
      <c r="N20" s="10"/>
      <c r="O20" s="334"/>
      <c r="P20" s="328"/>
    </row>
    <row r="21" spans="1:16" x14ac:dyDescent="0.25">
      <c r="A21" s="7"/>
      <c r="B21" s="8"/>
      <c r="C21" s="8"/>
      <c r="D21" s="8"/>
      <c r="E21" s="330" t="s">
        <v>622</v>
      </c>
      <c r="F21" s="331"/>
      <c r="G21" s="331"/>
      <c r="H21" s="331"/>
      <c r="I21" s="331"/>
      <c r="J21" s="331"/>
      <c r="K21" s="331"/>
      <c r="L21" s="331"/>
      <c r="M21" s="332"/>
      <c r="N21" s="10"/>
      <c r="O21" s="334"/>
      <c r="P21" s="328"/>
    </row>
    <row r="22" spans="1:16" x14ac:dyDescent="0.25">
      <c r="A22" s="7">
        <f>A20+1</f>
        <v>10</v>
      </c>
      <c r="B22" s="8">
        <f>C20</f>
        <v>0.4375</v>
      </c>
      <c r="C22" s="8">
        <v>0.44791666666666669</v>
      </c>
      <c r="D22" s="8">
        <f t="shared" si="2"/>
        <v>1.0416666666666685E-2</v>
      </c>
      <c r="E22" s="244" t="s">
        <v>558</v>
      </c>
      <c r="F22" s="244" t="s">
        <v>557</v>
      </c>
      <c r="G22" s="244" t="s">
        <v>556</v>
      </c>
      <c r="H22" s="242" t="s">
        <v>535</v>
      </c>
      <c r="I22" s="242" t="s">
        <v>534</v>
      </c>
      <c r="J22" s="242" t="s">
        <v>533</v>
      </c>
      <c r="K22" s="242" t="s">
        <v>532</v>
      </c>
      <c r="L22" s="8"/>
      <c r="M22" s="8"/>
      <c r="N22" s="245" t="s">
        <v>620</v>
      </c>
      <c r="O22" s="334"/>
      <c r="P22" s="328"/>
    </row>
    <row r="23" spans="1:16" x14ac:dyDescent="0.25">
      <c r="A23" s="7">
        <f t="shared" si="1"/>
        <v>11</v>
      </c>
      <c r="B23" s="8">
        <f t="shared" si="3"/>
        <v>0.44791666666666669</v>
      </c>
      <c r="C23" s="8">
        <v>0.45833333333333331</v>
      </c>
      <c r="D23" s="8">
        <f t="shared" si="2"/>
        <v>1.041666666666663E-2</v>
      </c>
      <c r="E23" s="244" t="s">
        <v>555</v>
      </c>
      <c r="F23" s="244" t="s">
        <v>554</v>
      </c>
      <c r="G23" s="244" t="s">
        <v>553</v>
      </c>
      <c r="H23" s="244" t="s">
        <v>552</v>
      </c>
      <c r="I23" s="244" t="s">
        <v>551</v>
      </c>
      <c r="J23" s="8"/>
      <c r="K23" s="8"/>
      <c r="L23" s="8"/>
      <c r="M23" s="8"/>
      <c r="N23" s="9"/>
      <c r="O23" s="334"/>
      <c r="P23" s="328"/>
    </row>
    <row r="24" spans="1:16" x14ac:dyDescent="0.25">
      <c r="A24" s="7">
        <f t="shared" si="1"/>
        <v>12</v>
      </c>
      <c r="B24" s="8">
        <f t="shared" si="3"/>
        <v>0.45833333333333331</v>
      </c>
      <c r="C24" s="8">
        <v>0.46875</v>
      </c>
      <c r="D24" s="8">
        <f t="shared" si="2"/>
        <v>1.0416666666666685E-2</v>
      </c>
      <c r="E24" s="251" t="s">
        <v>657</v>
      </c>
      <c r="F24" s="251" t="s">
        <v>660</v>
      </c>
      <c r="G24" s="251" t="s">
        <v>663</v>
      </c>
      <c r="H24" s="251" t="s">
        <v>666</v>
      </c>
      <c r="I24" s="251" t="s">
        <v>669</v>
      </c>
      <c r="J24" s="251" t="s">
        <v>672</v>
      </c>
      <c r="K24" s="251" t="s">
        <v>675</v>
      </c>
      <c r="L24" s="8"/>
      <c r="M24" s="8"/>
      <c r="N24" s="9"/>
      <c r="O24" s="335"/>
      <c r="P24" s="328"/>
    </row>
    <row r="25" spans="1:16" x14ac:dyDescent="0.25">
      <c r="A25" s="7">
        <f t="shared" si="1"/>
        <v>13</v>
      </c>
      <c r="B25" s="8">
        <f>C24</f>
        <v>0.46875</v>
      </c>
      <c r="C25" s="8">
        <v>0.47916666666666669</v>
      </c>
      <c r="D25" s="8">
        <f t="shared" si="2"/>
        <v>1.0416666666666685E-2</v>
      </c>
      <c r="E25" s="251" t="s">
        <v>678</v>
      </c>
      <c r="F25" s="251" t="s">
        <v>658</v>
      </c>
      <c r="G25" s="251" t="s">
        <v>661</v>
      </c>
      <c r="H25" s="251" t="s">
        <v>664</v>
      </c>
      <c r="I25" s="251" t="s">
        <v>667</v>
      </c>
      <c r="J25" s="251" t="s">
        <v>670</v>
      </c>
      <c r="K25" s="251" t="s">
        <v>673</v>
      </c>
      <c r="L25" s="8"/>
      <c r="M25" s="8"/>
      <c r="N25" s="9"/>
      <c r="O25" s="243"/>
      <c r="P25" s="328"/>
    </row>
    <row r="26" spans="1:16" x14ac:dyDescent="0.25">
      <c r="A26" s="7">
        <f t="shared" si="1"/>
        <v>14</v>
      </c>
      <c r="B26" s="8">
        <f t="shared" ref="B26:B27" si="4">C25</f>
        <v>0.47916666666666669</v>
      </c>
      <c r="C26" s="8">
        <v>0.48958333333333331</v>
      </c>
      <c r="D26" s="8">
        <f t="shared" si="2"/>
        <v>1.041666666666663E-2</v>
      </c>
      <c r="E26" s="251" t="s">
        <v>676</v>
      </c>
      <c r="F26" s="251" t="s">
        <v>679</v>
      </c>
      <c r="G26" s="251" t="s">
        <v>659</v>
      </c>
      <c r="H26" s="251" t="s">
        <v>662</v>
      </c>
      <c r="I26" s="251" t="s">
        <v>665</v>
      </c>
      <c r="J26" s="251" t="s">
        <v>668</v>
      </c>
      <c r="K26" s="251" t="s">
        <v>671</v>
      </c>
      <c r="L26" s="8"/>
      <c r="M26" s="8"/>
      <c r="N26" s="9"/>
      <c r="O26" s="243"/>
      <c r="P26" s="328"/>
    </row>
    <row r="27" spans="1:16" x14ac:dyDescent="0.25">
      <c r="A27" s="7">
        <f t="shared" si="1"/>
        <v>15</v>
      </c>
      <c r="B27" s="8">
        <f t="shared" si="4"/>
        <v>0.48958333333333331</v>
      </c>
      <c r="C27" s="8">
        <v>0.5</v>
      </c>
      <c r="D27" s="8">
        <f t="shared" si="2"/>
        <v>1.0416666666666685E-2</v>
      </c>
      <c r="E27" s="251" t="s">
        <v>674</v>
      </c>
      <c r="F27" s="251" t="s">
        <v>677</v>
      </c>
      <c r="G27" s="252" t="s">
        <v>680</v>
      </c>
      <c r="H27" s="8"/>
      <c r="I27" s="8"/>
      <c r="J27" s="8"/>
      <c r="K27" s="8"/>
      <c r="M27" s="11"/>
      <c r="N27" s="9"/>
      <c r="O27" s="243"/>
      <c r="P27" s="328"/>
    </row>
    <row r="28" spans="1:16" ht="36" customHeight="1" x14ac:dyDescent="0.25">
      <c r="A28" s="7">
        <f t="shared" si="1"/>
        <v>16</v>
      </c>
      <c r="B28" s="8">
        <f>C27</f>
        <v>0.5</v>
      </c>
      <c r="C28" s="8">
        <v>0.5625</v>
      </c>
      <c r="D28" s="8">
        <f t="shared" si="2"/>
        <v>6.25E-2</v>
      </c>
      <c r="E28" s="330" t="s">
        <v>56</v>
      </c>
      <c r="F28" s="331"/>
      <c r="G28" s="331"/>
      <c r="H28" s="331"/>
      <c r="I28" s="331"/>
      <c r="J28" s="331"/>
      <c r="K28" s="331"/>
      <c r="L28" s="331"/>
      <c r="M28" s="332"/>
      <c r="N28" s="336" t="s">
        <v>287</v>
      </c>
      <c r="O28" s="337"/>
      <c r="P28" s="328"/>
    </row>
    <row r="29" spans="1:16" x14ac:dyDescent="0.25">
      <c r="A29" s="7">
        <f t="shared" si="1"/>
        <v>17</v>
      </c>
      <c r="B29" s="8">
        <f t="shared" si="3"/>
        <v>0.5625</v>
      </c>
      <c r="C29" s="8">
        <v>0.58333333333333337</v>
      </c>
      <c r="D29" s="8">
        <f t="shared" si="2"/>
        <v>2.083333333333337E-2</v>
      </c>
      <c r="E29" s="106" t="s">
        <v>289</v>
      </c>
      <c r="F29" s="106" t="s">
        <v>290</v>
      </c>
      <c r="G29" s="107" t="s">
        <v>293</v>
      </c>
      <c r="H29" s="107" t="s">
        <v>294</v>
      </c>
      <c r="I29" s="251" t="s">
        <v>297</v>
      </c>
      <c r="J29" s="251" t="s">
        <v>298</v>
      </c>
      <c r="K29" s="8"/>
      <c r="L29" s="8"/>
      <c r="M29" s="8"/>
      <c r="N29" s="343" t="s">
        <v>316</v>
      </c>
      <c r="O29" s="340" t="s">
        <v>362</v>
      </c>
      <c r="P29" s="328"/>
    </row>
    <row r="30" spans="1:16" x14ac:dyDescent="0.25">
      <c r="A30" s="7">
        <f t="shared" si="1"/>
        <v>18</v>
      </c>
      <c r="B30" s="8">
        <f t="shared" si="3"/>
        <v>0.58333333333333337</v>
      </c>
      <c r="C30" s="8">
        <v>0.60416666666666663</v>
      </c>
      <c r="D30" s="8">
        <f t="shared" si="2"/>
        <v>2.0833333333333259E-2</v>
      </c>
      <c r="E30" s="106" t="s">
        <v>291</v>
      </c>
      <c r="F30" s="106" t="s">
        <v>292</v>
      </c>
      <c r="G30" s="107" t="s">
        <v>295</v>
      </c>
      <c r="H30" s="107" t="s">
        <v>296</v>
      </c>
      <c r="I30" s="251" t="s">
        <v>299</v>
      </c>
      <c r="J30" s="251" t="s">
        <v>300</v>
      </c>
      <c r="K30" s="11"/>
      <c r="L30" s="338" t="s">
        <v>232</v>
      </c>
      <c r="M30" s="338" t="s">
        <v>233</v>
      </c>
      <c r="N30" s="305"/>
      <c r="O30" s="341"/>
      <c r="P30" s="328"/>
    </row>
    <row r="31" spans="1:16" x14ac:dyDescent="0.25">
      <c r="A31" s="7">
        <f t="shared" si="1"/>
        <v>19</v>
      </c>
      <c r="B31" s="8">
        <f t="shared" si="3"/>
        <v>0.60416666666666663</v>
      </c>
      <c r="C31" s="103">
        <v>0.625</v>
      </c>
      <c r="D31" s="103">
        <f t="shared" si="2"/>
        <v>2.083333333333337E-2</v>
      </c>
      <c r="E31" s="106" t="s">
        <v>302</v>
      </c>
      <c r="F31" s="106" t="s">
        <v>303</v>
      </c>
      <c r="G31" s="107" t="s">
        <v>304</v>
      </c>
      <c r="H31" s="107" t="s">
        <v>305</v>
      </c>
      <c r="I31" s="251" t="s">
        <v>306</v>
      </c>
      <c r="J31" s="251" t="s">
        <v>307</v>
      </c>
      <c r="K31" s="104"/>
      <c r="L31" s="339"/>
      <c r="M31" s="339"/>
      <c r="N31" s="105" t="s">
        <v>315</v>
      </c>
      <c r="O31" s="341"/>
      <c r="P31" s="328"/>
    </row>
    <row r="32" spans="1:16" x14ac:dyDescent="0.25">
      <c r="A32" s="7"/>
      <c r="B32" s="8"/>
      <c r="C32" s="103"/>
      <c r="D32" s="103"/>
      <c r="E32" s="330" t="s">
        <v>690</v>
      </c>
      <c r="F32" s="331"/>
      <c r="G32" s="331"/>
      <c r="H32" s="331"/>
      <c r="I32" s="331"/>
      <c r="J32" s="331"/>
      <c r="K32" s="331"/>
      <c r="L32" s="331"/>
      <c r="M32" s="332"/>
      <c r="N32" s="105"/>
      <c r="O32" s="341"/>
      <c r="P32" s="328"/>
    </row>
    <row r="33" spans="1:16" x14ac:dyDescent="0.25">
      <c r="A33" s="7">
        <f>A31+1</f>
        <v>20</v>
      </c>
      <c r="B33" s="8">
        <f>C31</f>
        <v>0.625</v>
      </c>
      <c r="C33" s="103">
        <v>0.64583333333333337</v>
      </c>
      <c r="D33" s="103">
        <f t="shared" si="2"/>
        <v>2.083333333333337E-2</v>
      </c>
      <c r="E33" s="106" t="s">
        <v>308</v>
      </c>
      <c r="F33" s="106"/>
      <c r="G33" s="107" t="s">
        <v>310</v>
      </c>
      <c r="H33" s="107"/>
      <c r="I33" s="251" t="s">
        <v>312</v>
      </c>
      <c r="J33" s="251"/>
      <c r="K33" s="104"/>
      <c r="L33" s="8"/>
      <c r="M33" s="8"/>
      <c r="N33" s="343" t="s">
        <v>363</v>
      </c>
      <c r="O33" s="341"/>
      <c r="P33" s="328"/>
    </row>
    <row r="34" spans="1:16" x14ac:dyDescent="0.25">
      <c r="A34" s="7">
        <f t="shared" si="1"/>
        <v>21</v>
      </c>
      <c r="B34" s="8">
        <f t="shared" si="3"/>
        <v>0.64583333333333337</v>
      </c>
      <c r="C34" s="103">
        <v>0.66666666666666663</v>
      </c>
      <c r="D34" s="103">
        <f t="shared" si="2"/>
        <v>2.0833333333333259E-2</v>
      </c>
      <c r="E34" s="106" t="s">
        <v>309</v>
      </c>
      <c r="F34" s="106"/>
      <c r="G34" s="107" t="s">
        <v>311</v>
      </c>
      <c r="H34" s="107"/>
      <c r="I34" s="253" t="s">
        <v>313</v>
      </c>
      <c r="J34" s="253"/>
      <c r="K34" s="104"/>
      <c r="L34" s="338" t="s">
        <v>318</v>
      </c>
      <c r="M34" s="338" t="s">
        <v>236</v>
      </c>
      <c r="N34" s="348"/>
      <c r="O34" s="341"/>
      <c r="P34" s="328"/>
    </row>
    <row r="35" spans="1:16" x14ac:dyDescent="0.25">
      <c r="A35" s="7">
        <f t="shared" si="1"/>
        <v>22</v>
      </c>
      <c r="B35" s="8">
        <f t="shared" si="3"/>
        <v>0.66666666666666663</v>
      </c>
      <c r="C35" s="103">
        <v>0.6875</v>
      </c>
      <c r="D35" s="103">
        <f t="shared" si="2"/>
        <v>2.083333333333337E-2</v>
      </c>
      <c r="E35" s="344" t="s">
        <v>314</v>
      </c>
      <c r="F35" s="345"/>
      <c r="G35" s="345"/>
      <c r="H35" s="345"/>
      <c r="I35" s="345"/>
      <c r="J35" s="345"/>
      <c r="K35" s="346"/>
      <c r="L35" s="339"/>
      <c r="M35" s="339"/>
      <c r="N35" s="105"/>
      <c r="O35" s="342"/>
      <c r="P35" s="329"/>
    </row>
    <row r="36" spans="1:16" ht="14.4" thickBot="1" x14ac:dyDescent="0.3">
      <c r="A36" s="12">
        <f>A35+1</f>
        <v>23</v>
      </c>
      <c r="B36" s="13">
        <f>C35</f>
        <v>0.6875</v>
      </c>
      <c r="C36" s="13">
        <v>0.70833333333333337</v>
      </c>
      <c r="D36" s="13">
        <v>2.083333333333337E-2</v>
      </c>
      <c r="E36" s="349" t="s">
        <v>276</v>
      </c>
      <c r="F36" s="350"/>
      <c r="G36" s="350"/>
      <c r="H36" s="350"/>
      <c r="I36" s="350"/>
      <c r="J36" s="350"/>
      <c r="K36" s="350"/>
      <c r="L36" s="350"/>
      <c r="M36" s="351"/>
      <c r="N36" s="108" t="s">
        <v>405</v>
      </c>
      <c r="O36" s="14"/>
      <c r="P36" s="15"/>
    </row>
    <row r="46" spans="1:16" x14ac:dyDescent="0.25">
      <c r="I46" s="2"/>
      <c r="J46" s="2"/>
      <c r="K46" s="2"/>
    </row>
    <row r="47" spans="1:16" x14ac:dyDescent="0.25">
      <c r="I47" s="2"/>
      <c r="J47" s="2"/>
      <c r="K47" s="2"/>
    </row>
    <row r="48" spans="1:16" x14ac:dyDescent="0.25">
      <c r="G48" s="2"/>
      <c r="H48" s="2"/>
      <c r="I48" s="2"/>
      <c r="J48" s="2"/>
      <c r="K48" s="2"/>
    </row>
  </sheetData>
  <mergeCells count="33">
    <mergeCell ref="L30:L31"/>
    <mergeCell ref="M30:M31"/>
    <mergeCell ref="E32:M32"/>
    <mergeCell ref="E36:M36"/>
    <mergeCell ref="E11:M11"/>
    <mergeCell ref="P11:P35"/>
    <mergeCell ref="E28:M28"/>
    <mergeCell ref="O12:O24"/>
    <mergeCell ref="N28:O28"/>
    <mergeCell ref="L34:L35"/>
    <mergeCell ref="O29:O35"/>
    <mergeCell ref="N29:N30"/>
    <mergeCell ref="E35:K35"/>
    <mergeCell ref="L12:L15"/>
    <mergeCell ref="M12:M15"/>
    <mergeCell ref="L17:L20"/>
    <mergeCell ref="M17:M20"/>
    <mergeCell ref="N33:N34"/>
    <mergeCell ref="M34:M35"/>
    <mergeCell ref="E16:M16"/>
    <mergeCell ref="E21:M21"/>
    <mergeCell ref="E8:K8"/>
    <mergeCell ref="A3:P3"/>
    <mergeCell ref="A4:P4"/>
    <mergeCell ref="A5:P5"/>
    <mergeCell ref="A7:A9"/>
    <mergeCell ref="B7:B9"/>
    <mergeCell ref="C7:C9"/>
    <mergeCell ref="D7:D9"/>
    <mergeCell ref="E7:M7"/>
    <mergeCell ref="N7:N9"/>
    <mergeCell ref="O7:P9"/>
    <mergeCell ref="L8:M8"/>
  </mergeCells>
  <phoneticPr fontId="25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97" fitToHeight="0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5"/>
  <sheetViews>
    <sheetView workbookViewId="0">
      <selection activeCell="H48" sqref="H48"/>
    </sheetView>
  </sheetViews>
  <sheetFormatPr defaultColWidth="9" defaultRowHeight="13.8" x14ac:dyDescent="0.25"/>
  <cols>
    <col min="1" max="16384" width="9" style="2"/>
  </cols>
  <sheetData>
    <row r="1" spans="1:16" ht="14.4" thickBot="1" x14ac:dyDescent="0.3">
      <c r="A1" s="354" t="s">
        <v>656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</row>
    <row r="2" spans="1:16" x14ac:dyDescent="0.25">
      <c r="A2" s="352" t="s">
        <v>623</v>
      </c>
      <c r="B2" s="353"/>
      <c r="C2" s="352" t="s">
        <v>628</v>
      </c>
      <c r="D2" s="353"/>
      <c r="E2" s="352" t="s">
        <v>638</v>
      </c>
      <c r="F2" s="353"/>
      <c r="G2" s="352" t="s">
        <v>639</v>
      </c>
      <c r="H2" s="353"/>
      <c r="I2" s="352" t="s">
        <v>643</v>
      </c>
      <c r="J2" s="353"/>
      <c r="K2" s="352" t="s">
        <v>653</v>
      </c>
      <c r="L2" s="353"/>
      <c r="M2" s="352" t="s">
        <v>654</v>
      </c>
      <c r="N2" s="353"/>
      <c r="O2" s="352" t="s">
        <v>655</v>
      </c>
      <c r="P2" s="353"/>
    </row>
    <row r="3" spans="1:16" ht="14.4" thickBot="1" x14ac:dyDescent="0.3">
      <c r="A3" s="248" t="s">
        <v>625</v>
      </c>
      <c r="B3" s="250" t="s">
        <v>456</v>
      </c>
      <c r="C3" s="248" t="s">
        <v>625</v>
      </c>
      <c r="D3" s="250" t="s">
        <v>456</v>
      </c>
      <c r="E3" s="248" t="s">
        <v>625</v>
      </c>
      <c r="F3" s="250" t="s">
        <v>456</v>
      </c>
      <c r="G3" s="248" t="s">
        <v>625</v>
      </c>
      <c r="H3" s="250" t="s">
        <v>456</v>
      </c>
      <c r="I3" s="248" t="s">
        <v>625</v>
      </c>
      <c r="J3" s="250" t="s">
        <v>456</v>
      </c>
      <c r="K3" s="248" t="s">
        <v>625</v>
      </c>
      <c r="L3" s="250" t="s">
        <v>456</v>
      </c>
      <c r="M3" s="248" t="s">
        <v>625</v>
      </c>
      <c r="N3" s="250" t="s">
        <v>456</v>
      </c>
      <c r="O3" s="248" t="s">
        <v>625</v>
      </c>
      <c r="P3" s="250" t="s">
        <v>456</v>
      </c>
    </row>
    <row r="4" spans="1:16" x14ac:dyDescent="0.25">
      <c r="A4" s="249" t="s">
        <v>624</v>
      </c>
      <c r="B4" s="241"/>
      <c r="C4" s="249" t="s">
        <v>629</v>
      </c>
      <c r="D4" s="241"/>
      <c r="E4" s="249" t="s">
        <v>632</v>
      </c>
      <c r="F4" s="241"/>
      <c r="G4" s="249" t="s">
        <v>635</v>
      </c>
      <c r="H4" s="241"/>
      <c r="I4" s="249" t="s">
        <v>640</v>
      </c>
      <c r="J4" s="241"/>
      <c r="K4" s="249" t="s">
        <v>644</v>
      </c>
      <c r="L4" s="241"/>
      <c r="M4" s="249" t="s">
        <v>647</v>
      </c>
      <c r="N4" s="241"/>
      <c r="O4" s="249" t="s">
        <v>650</v>
      </c>
      <c r="P4" s="241"/>
    </row>
    <row r="5" spans="1:16" x14ac:dyDescent="0.25">
      <c r="A5" s="247" t="s">
        <v>626</v>
      </c>
      <c r="B5" s="235"/>
      <c r="C5" s="247" t="s">
        <v>630</v>
      </c>
      <c r="D5" s="235"/>
      <c r="E5" s="247" t="s">
        <v>633</v>
      </c>
      <c r="F5" s="235"/>
      <c r="G5" s="247" t="s">
        <v>636</v>
      </c>
      <c r="H5" s="235"/>
      <c r="I5" s="247" t="s">
        <v>641</v>
      </c>
      <c r="J5" s="235"/>
      <c r="K5" s="247" t="s">
        <v>645</v>
      </c>
      <c r="L5" s="235"/>
      <c r="M5" s="247" t="s">
        <v>648</v>
      </c>
      <c r="N5" s="235"/>
      <c r="O5" s="247" t="s">
        <v>651</v>
      </c>
      <c r="P5" s="235"/>
    </row>
    <row r="6" spans="1:16" ht="14.4" thickBot="1" x14ac:dyDescent="0.3">
      <c r="A6" s="248" t="s">
        <v>627</v>
      </c>
      <c r="B6" s="236"/>
      <c r="C6" s="248" t="s">
        <v>631</v>
      </c>
      <c r="D6" s="236"/>
      <c r="E6" s="248" t="s">
        <v>634</v>
      </c>
      <c r="F6" s="236"/>
      <c r="G6" s="248" t="s">
        <v>637</v>
      </c>
      <c r="H6" s="236"/>
      <c r="I6" s="248" t="s">
        <v>642</v>
      </c>
      <c r="J6" s="236"/>
      <c r="K6" s="248" t="s">
        <v>646</v>
      </c>
      <c r="L6" s="236"/>
      <c r="M6" s="248" t="s">
        <v>649</v>
      </c>
      <c r="N6" s="236"/>
      <c r="O6" s="248" t="s">
        <v>652</v>
      </c>
      <c r="P6" s="236"/>
    </row>
    <row r="7" spans="1:16" x14ac:dyDescent="0.25">
      <c r="A7" s="164" t="s">
        <v>657</v>
      </c>
      <c r="C7" s="164" t="s">
        <v>660</v>
      </c>
      <c r="E7" s="164" t="s">
        <v>663</v>
      </c>
      <c r="G7" s="164" t="s">
        <v>666</v>
      </c>
      <c r="I7" s="164" t="s">
        <v>669</v>
      </c>
      <c r="K7" s="164" t="s">
        <v>672</v>
      </c>
      <c r="M7" s="164" t="s">
        <v>675</v>
      </c>
      <c r="O7" s="164" t="s">
        <v>678</v>
      </c>
    </row>
    <row r="8" spans="1:16" x14ac:dyDescent="0.25">
      <c r="A8" s="164" t="s">
        <v>658</v>
      </c>
      <c r="C8" s="164" t="s">
        <v>661</v>
      </c>
      <c r="E8" s="164" t="s">
        <v>664</v>
      </c>
      <c r="G8" s="164" t="s">
        <v>667</v>
      </c>
      <c r="I8" s="164" t="s">
        <v>670</v>
      </c>
      <c r="K8" s="164" t="s">
        <v>673</v>
      </c>
      <c r="M8" s="164" t="s">
        <v>676</v>
      </c>
      <c r="O8" s="164" t="s">
        <v>679</v>
      </c>
    </row>
    <row r="9" spans="1:16" x14ac:dyDescent="0.25">
      <c r="A9" s="164" t="s">
        <v>659</v>
      </c>
      <c r="C9" s="164" t="s">
        <v>662</v>
      </c>
      <c r="E9" s="164" t="s">
        <v>665</v>
      </c>
      <c r="G9" s="164" t="s">
        <v>668</v>
      </c>
      <c r="I9" s="164" t="s">
        <v>671</v>
      </c>
      <c r="K9" s="164" t="s">
        <v>674</v>
      </c>
      <c r="M9" s="164" t="s">
        <v>677</v>
      </c>
      <c r="O9" s="164" t="s">
        <v>680</v>
      </c>
    </row>
    <row r="11" spans="1:16" x14ac:dyDescent="0.25">
      <c r="A11" s="222" t="s">
        <v>681</v>
      </c>
      <c r="B11" s="222" t="s">
        <v>682</v>
      </c>
      <c r="C11" s="222" t="s">
        <v>683</v>
      </c>
      <c r="D11" s="222" t="s">
        <v>684</v>
      </c>
      <c r="E11" s="222" t="s">
        <v>685</v>
      </c>
      <c r="F11" s="222" t="s">
        <v>686</v>
      </c>
      <c r="G11" s="222" t="s">
        <v>687</v>
      </c>
      <c r="H11" s="222" t="s">
        <v>688</v>
      </c>
    </row>
    <row r="12" spans="1:16" x14ac:dyDescent="0.25">
      <c r="A12" s="294" t="s">
        <v>283</v>
      </c>
      <c r="B12" s="294"/>
      <c r="C12" s="294" t="s">
        <v>284</v>
      </c>
      <c r="D12" s="294"/>
      <c r="E12" s="294" t="s">
        <v>285</v>
      </c>
      <c r="F12" s="294"/>
      <c r="G12" s="294" t="s">
        <v>286</v>
      </c>
      <c r="H12" s="294"/>
    </row>
    <row r="13" spans="1:16" x14ac:dyDescent="0.25">
      <c r="A13" s="294" t="s">
        <v>232</v>
      </c>
      <c r="B13" s="294"/>
      <c r="C13" s="294"/>
      <c r="D13" s="294"/>
      <c r="E13" s="294" t="s">
        <v>233</v>
      </c>
      <c r="F13" s="294"/>
      <c r="G13" s="294"/>
      <c r="H13" s="294"/>
    </row>
    <row r="14" spans="1:16" x14ac:dyDescent="0.25">
      <c r="C14" s="294" t="s">
        <v>237</v>
      </c>
      <c r="D14" s="294"/>
      <c r="E14" s="294"/>
      <c r="F14" s="294"/>
    </row>
    <row r="15" spans="1:16" x14ac:dyDescent="0.25">
      <c r="C15" s="294" t="s">
        <v>236</v>
      </c>
      <c r="D15" s="294"/>
      <c r="E15" s="294"/>
      <c r="F15" s="294"/>
    </row>
  </sheetData>
  <mergeCells count="17">
    <mergeCell ref="A13:D13"/>
    <mergeCell ref="E13:H13"/>
    <mergeCell ref="C14:F14"/>
    <mergeCell ref="C15:F15"/>
    <mergeCell ref="M2:N2"/>
    <mergeCell ref="O2:P2"/>
    <mergeCell ref="A1:P1"/>
    <mergeCell ref="A12:B12"/>
    <mergeCell ref="C12:D12"/>
    <mergeCell ref="E12:F12"/>
    <mergeCell ref="G12:H12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9"/>
  <sheetViews>
    <sheetView workbookViewId="0">
      <selection activeCell="D12" sqref="D12:D13"/>
    </sheetView>
  </sheetViews>
  <sheetFormatPr defaultColWidth="9" defaultRowHeight="13.8" x14ac:dyDescent="0.25"/>
  <cols>
    <col min="1" max="1" width="9.09765625" style="2" bestFit="1" customWidth="1"/>
    <col min="2" max="2" width="8.8984375" style="2" bestFit="1" customWidth="1"/>
    <col min="3" max="3" width="10.09765625" style="2" bestFit="1" customWidth="1"/>
    <col min="4" max="4" width="8.8984375" style="2" bestFit="1" customWidth="1"/>
    <col min="5" max="5" width="10.09765625" style="2" bestFit="1" customWidth="1"/>
    <col min="6" max="6" width="8.8984375" style="164" bestFit="1" customWidth="1"/>
    <col min="7" max="7" width="10.09765625" style="2" bestFit="1" customWidth="1"/>
    <col min="8" max="8" width="8.8984375" style="2" bestFit="1" customWidth="1"/>
    <col min="9" max="9" width="10.09765625" style="2" bestFit="1" customWidth="1"/>
    <col min="10" max="10" width="8.19921875" style="2" bestFit="1" customWidth="1"/>
    <col min="11" max="14" width="10.09765625" style="2" bestFit="1" customWidth="1"/>
    <col min="15" max="15" width="9.69921875" style="2" bestFit="1" customWidth="1"/>
    <col min="16" max="16384" width="9" style="2"/>
  </cols>
  <sheetData>
    <row r="1" spans="1:10" ht="14.4" thickBot="1" x14ac:dyDescent="0.3">
      <c r="A1" s="355" t="s">
        <v>595</v>
      </c>
      <c r="B1" s="355"/>
      <c r="C1" s="355"/>
      <c r="D1" s="355"/>
      <c r="E1" s="355"/>
      <c r="F1" s="355"/>
      <c r="G1" s="355"/>
      <c r="H1" s="355"/>
      <c r="I1" s="355"/>
      <c r="J1" s="355"/>
    </row>
    <row r="2" spans="1:10" x14ac:dyDescent="0.25">
      <c r="A2" s="356" t="s">
        <v>614</v>
      </c>
      <c r="B2" s="357"/>
      <c r="C2" s="358" t="s">
        <v>615</v>
      </c>
      <c r="D2" s="359"/>
      <c r="E2" s="356" t="s">
        <v>616</v>
      </c>
      <c r="F2" s="357"/>
      <c r="G2" s="358" t="s">
        <v>580</v>
      </c>
      <c r="H2" s="359"/>
      <c r="I2" s="356" t="s">
        <v>581</v>
      </c>
      <c r="J2" s="357"/>
    </row>
    <row r="3" spans="1:10" ht="14.4" thickBot="1" x14ac:dyDescent="0.3">
      <c r="A3" s="223" t="s">
        <v>456</v>
      </c>
      <c r="B3" s="224" t="s">
        <v>457</v>
      </c>
      <c r="C3" s="194" t="s">
        <v>456</v>
      </c>
      <c r="D3" s="195" t="s">
        <v>457</v>
      </c>
      <c r="E3" s="223" t="s">
        <v>456</v>
      </c>
      <c r="F3" s="224" t="s">
        <v>457</v>
      </c>
      <c r="G3" s="194" t="s">
        <v>456</v>
      </c>
      <c r="H3" s="195" t="s">
        <v>457</v>
      </c>
      <c r="I3" s="223" t="s">
        <v>456</v>
      </c>
      <c r="J3" s="224" t="s">
        <v>457</v>
      </c>
    </row>
    <row r="4" spans="1:10" x14ac:dyDescent="0.25">
      <c r="A4" s="225" t="s">
        <v>596</v>
      </c>
      <c r="B4" s="360" t="s">
        <v>408</v>
      </c>
      <c r="C4" s="189" t="s">
        <v>424</v>
      </c>
      <c r="D4" s="362" t="s">
        <v>458</v>
      </c>
      <c r="E4" s="225" t="s">
        <v>474</v>
      </c>
      <c r="F4" s="229" t="s">
        <v>514</v>
      </c>
      <c r="G4" s="189" t="s">
        <v>474</v>
      </c>
      <c r="H4" s="364" t="s">
        <v>576</v>
      </c>
      <c r="I4" s="198" t="s">
        <v>582</v>
      </c>
      <c r="J4" s="366" t="s">
        <v>586</v>
      </c>
    </row>
    <row r="5" spans="1:10" x14ac:dyDescent="0.25">
      <c r="A5" s="226" t="s">
        <v>597</v>
      </c>
      <c r="B5" s="361"/>
      <c r="C5" s="186" t="s">
        <v>425</v>
      </c>
      <c r="D5" s="363"/>
      <c r="E5" s="226" t="s">
        <v>507</v>
      </c>
      <c r="F5" s="230" t="s">
        <v>514</v>
      </c>
      <c r="G5" s="187" t="s">
        <v>543</v>
      </c>
      <c r="H5" s="365"/>
      <c r="I5" s="196" t="s">
        <v>583</v>
      </c>
      <c r="J5" s="367"/>
    </row>
    <row r="6" spans="1:10" x14ac:dyDescent="0.25">
      <c r="A6" s="226" t="s">
        <v>598</v>
      </c>
      <c r="B6" s="361" t="s">
        <v>409</v>
      </c>
      <c r="C6" s="186" t="s">
        <v>426</v>
      </c>
      <c r="D6" s="363" t="s">
        <v>459</v>
      </c>
      <c r="E6" s="226" t="s">
        <v>508</v>
      </c>
      <c r="F6" s="230" t="s">
        <v>514</v>
      </c>
      <c r="G6" s="186" t="s">
        <v>507</v>
      </c>
      <c r="H6" s="365" t="s">
        <v>577</v>
      </c>
      <c r="I6" s="196" t="s">
        <v>584</v>
      </c>
      <c r="J6" s="367" t="s">
        <v>587</v>
      </c>
    </row>
    <row r="7" spans="1:10" x14ac:dyDescent="0.25">
      <c r="A7" s="226" t="s">
        <v>599</v>
      </c>
      <c r="B7" s="361"/>
      <c r="C7" s="186" t="s">
        <v>427</v>
      </c>
      <c r="D7" s="363"/>
      <c r="E7" s="226" t="s">
        <v>509</v>
      </c>
      <c r="F7" s="230" t="s">
        <v>514</v>
      </c>
      <c r="G7" s="187" t="s">
        <v>542</v>
      </c>
      <c r="H7" s="365"/>
      <c r="I7" s="196" t="s">
        <v>585</v>
      </c>
      <c r="J7" s="367"/>
    </row>
    <row r="8" spans="1:10" ht="14.4" thickBot="1" x14ac:dyDescent="0.3">
      <c r="A8" s="226" t="s">
        <v>600</v>
      </c>
      <c r="B8" s="361" t="s">
        <v>410</v>
      </c>
      <c r="C8" s="186" t="s">
        <v>428</v>
      </c>
      <c r="D8" s="363" t="s">
        <v>460</v>
      </c>
      <c r="E8" s="226" t="s">
        <v>568</v>
      </c>
      <c r="F8" s="368" t="s">
        <v>532</v>
      </c>
      <c r="G8" s="186" t="s">
        <v>508</v>
      </c>
      <c r="H8" s="365" t="s">
        <v>578</v>
      </c>
      <c r="I8" s="237"/>
      <c r="J8" s="238"/>
    </row>
    <row r="9" spans="1:10" ht="14.4" thickBot="1" x14ac:dyDescent="0.3">
      <c r="A9" s="226" t="s">
        <v>601</v>
      </c>
      <c r="B9" s="361"/>
      <c r="C9" s="186" t="s">
        <v>429</v>
      </c>
      <c r="D9" s="363"/>
      <c r="E9" s="226" t="s">
        <v>569</v>
      </c>
      <c r="F9" s="368"/>
      <c r="G9" s="187" t="s">
        <v>541</v>
      </c>
      <c r="H9" s="365"/>
      <c r="I9" s="369" t="s">
        <v>588</v>
      </c>
      <c r="J9" s="370"/>
    </row>
    <row r="10" spans="1:10" x14ac:dyDescent="0.25">
      <c r="A10" s="226" t="s">
        <v>602</v>
      </c>
      <c r="B10" s="361" t="s">
        <v>411</v>
      </c>
      <c r="C10" s="186" t="s">
        <v>430</v>
      </c>
      <c r="D10" s="363" t="s">
        <v>461</v>
      </c>
      <c r="E10" s="226" t="s">
        <v>570</v>
      </c>
      <c r="F10" s="368" t="s">
        <v>533</v>
      </c>
      <c r="G10" s="186" t="s">
        <v>509</v>
      </c>
      <c r="H10" s="365" t="s">
        <v>579</v>
      </c>
      <c r="I10" s="198" t="s">
        <v>589</v>
      </c>
      <c r="J10" s="366" t="s">
        <v>237</v>
      </c>
    </row>
    <row r="11" spans="1:10" ht="14.4" thickBot="1" x14ac:dyDescent="0.3">
      <c r="A11" s="226" t="s">
        <v>603</v>
      </c>
      <c r="B11" s="361"/>
      <c r="C11" s="186" t="s">
        <v>431</v>
      </c>
      <c r="D11" s="363"/>
      <c r="E11" s="226" t="s">
        <v>571</v>
      </c>
      <c r="F11" s="368"/>
      <c r="G11" s="187" t="s">
        <v>540</v>
      </c>
      <c r="H11" s="365"/>
      <c r="I11" s="197" t="s">
        <v>590</v>
      </c>
      <c r="J11" s="371"/>
    </row>
    <row r="12" spans="1:10" ht="14.4" thickBot="1" x14ac:dyDescent="0.3">
      <c r="A12" s="226" t="s">
        <v>604</v>
      </c>
      <c r="B12" s="361" t="s">
        <v>412</v>
      </c>
      <c r="C12" s="186" t="s">
        <v>440</v>
      </c>
      <c r="D12" s="363" t="s">
        <v>462</v>
      </c>
      <c r="E12" s="226" t="s">
        <v>510</v>
      </c>
      <c r="F12" s="368" t="s">
        <v>534</v>
      </c>
      <c r="G12" s="186"/>
      <c r="H12" s="365"/>
      <c r="I12" s="239"/>
      <c r="J12" s="240"/>
    </row>
    <row r="13" spans="1:10" ht="14.4" thickBot="1" x14ac:dyDescent="0.3">
      <c r="A13" s="226" t="s">
        <v>605</v>
      </c>
      <c r="B13" s="361"/>
      <c r="C13" s="186" t="s">
        <v>441</v>
      </c>
      <c r="D13" s="363"/>
      <c r="E13" s="226" t="s">
        <v>511</v>
      </c>
      <c r="F13" s="368"/>
      <c r="G13" s="196"/>
      <c r="H13" s="365"/>
      <c r="I13" s="369" t="s">
        <v>591</v>
      </c>
      <c r="J13" s="370"/>
    </row>
    <row r="14" spans="1:10" x14ac:dyDescent="0.25">
      <c r="A14" s="226" t="s">
        <v>606</v>
      </c>
      <c r="B14" s="361" t="s">
        <v>413</v>
      </c>
      <c r="C14" s="186" t="s">
        <v>442</v>
      </c>
      <c r="D14" s="363" t="s">
        <v>463</v>
      </c>
      <c r="E14" s="226" t="s">
        <v>512</v>
      </c>
      <c r="F14" s="368" t="s">
        <v>535</v>
      </c>
      <c r="G14" s="186"/>
      <c r="H14" s="365"/>
      <c r="I14" s="198" t="s">
        <v>592</v>
      </c>
      <c r="J14" s="366" t="s">
        <v>236</v>
      </c>
    </row>
    <row r="15" spans="1:10" ht="14.4" thickBot="1" x14ac:dyDescent="0.3">
      <c r="A15" s="226" t="s">
        <v>607</v>
      </c>
      <c r="B15" s="361"/>
      <c r="C15" s="186" t="s">
        <v>443</v>
      </c>
      <c r="D15" s="363"/>
      <c r="E15" s="226" t="s">
        <v>513</v>
      </c>
      <c r="F15" s="368"/>
      <c r="G15" s="196"/>
      <c r="H15" s="365"/>
      <c r="I15" s="197" t="s">
        <v>593</v>
      </c>
      <c r="J15" s="371"/>
    </row>
    <row r="16" spans="1:10" x14ac:dyDescent="0.25">
      <c r="A16" s="226" t="s">
        <v>608</v>
      </c>
      <c r="B16" s="361" t="s">
        <v>414</v>
      </c>
      <c r="C16" s="186" t="s">
        <v>444</v>
      </c>
      <c r="D16" s="363" t="s">
        <v>464</v>
      </c>
      <c r="E16" s="227" t="s">
        <v>572</v>
      </c>
      <c r="F16" s="230" t="s">
        <v>523</v>
      </c>
      <c r="G16" s="186"/>
      <c r="H16" s="365"/>
      <c r="I16" s="198"/>
      <c r="J16" s="241"/>
    </row>
    <row r="17" spans="1:10" x14ac:dyDescent="0.25">
      <c r="A17" s="226" t="s">
        <v>609</v>
      </c>
      <c r="B17" s="361"/>
      <c r="C17" s="186" t="s">
        <v>445</v>
      </c>
      <c r="D17" s="363"/>
      <c r="E17" s="227" t="s">
        <v>573</v>
      </c>
      <c r="F17" s="230" t="s">
        <v>523</v>
      </c>
      <c r="G17" s="196"/>
      <c r="H17" s="365"/>
      <c r="I17" s="196"/>
      <c r="J17" s="235"/>
    </row>
    <row r="18" spans="1:10" x14ac:dyDescent="0.25">
      <c r="A18" s="226" t="s">
        <v>610</v>
      </c>
      <c r="B18" s="361" t="s">
        <v>415</v>
      </c>
      <c r="C18" s="186" t="s">
        <v>446</v>
      </c>
      <c r="D18" s="363" t="s">
        <v>465</v>
      </c>
      <c r="E18" s="227" t="s">
        <v>574</v>
      </c>
      <c r="F18" s="230" t="s">
        <v>523</v>
      </c>
      <c r="G18" s="186"/>
      <c r="H18" s="365"/>
      <c r="I18" s="196"/>
      <c r="J18" s="235"/>
    </row>
    <row r="19" spans="1:10" ht="14.4" thickBot="1" x14ac:dyDescent="0.3">
      <c r="A19" s="233" t="s">
        <v>611</v>
      </c>
      <c r="B19" s="372"/>
      <c r="C19" s="234" t="s">
        <v>447</v>
      </c>
      <c r="D19" s="373"/>
      <c r="E19" s="228" t="s">
        <v>575</v>
      </c>
      <c r="F19" s="231" t="s">
        <v>523</v>
      </c>
      <c r="G19" s="197"/>
      <c r="H19" s="374"/>
      <c r="I19" s="197"/>
      <c r="J19" s="236"/>
    </row>
  </sheetData>
  <mergeCells count="40">
    <mergeCell ref="B18:B19"/>
    <mergeCell ref="D18:D19"/>
    <mergeCell ref="H18:H19"/>
    <mergeCell ref="B12:B13"/>
    <mergeCell ref="D12:D13"/>
    <mergeCell ref="F12:F13"/>
    <mergeCell ref="F14:F15"/>
    <mergeCell ref="B16:B17"/>
    <mergeCell ref="D16:D17"/>
    <mergeCell ref="H16:H17"/>
    <mergeCell ref="F8:F9"/>
    <mergeCell ref="H12:H13"/>
    <mergeCell ref="I13:J13"/>
    <mergeCell ref="B14:B15"/>
    <mergeCell ref="D14:D15"/>
    <mergeCell ref="F10:F11"/>
    <mergeCell ref="H14:H15"/>
    <mergeCell ref="J14:J15"/>
    <mergeCell ref="B8:B9"/>
    <mergeCell ref="D8:D9"/>
    <mergeCell ref="H8:H9"/>
    <mergeCell ref="I9:J9"/>
    <mergeCell ref="B10:B11"/>
    <mergeCell ref="D10:D11"/>
    <mergeCell ref="H10:H11"/>
    <mergeCell ref="J10:J11"/>
    <mergeCell ref="B4:B5"/>
    <mergeCell ref="D4:D5"/>
    <mergeCell ref="H4:H5"/>
    <mergeCell ref="J4:J5"/>
    <mergeCell ref="B6:B7"/>
    <mergeCell ref="D6:D7"/>
    <mergeCell ref="H6:H7"/>
    <mergeCell ref="J6:J7"/>
    <mergeCell ref="A1:J1"/>
    <mergeCell ref="A2:B2"/>
    <mergeCell ref="C2:D2"/>
    <mergeCell ref="E2:F2"/>
    <mergeCell ref="G2:H2"/>
    <mergeCell ref="I2:J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5"/>
  <sheetViews>
    <sheetView workbookViewId="0">
      <selection activeCell="D6" sqref="D6:D7"/>
    </sheetView>
  </sheetViews>
  <sheetFormatPr defaultColWidth="9" defaultRowHeight="13.8" x14ac:dyDescent="0.25"/>
  <cols>
    <col min="1" max="1" width="9.09765625" style="2" bestFit="1" customWidth="1"/>
    <col min="2" max="2" width="8.8984375" style="2" bestFit="1" customWidth="1"/>
    <col min="3" max="3" width="10.09765625" style="2" bestFit="1" customWidth="1"/>
    <col min="4" max="4" width="8.8984375" style="2" bestFit="1" customWidth="1"/>
    <col min="5" max="5" width="10.09765625" style="2" bestFit="1" customWidth="1"/>
    <col min="6" max="6" width="8.8984375" style="164" bestFit="1" customWidth="1"/>
    <col min="7" max="7" width="10.09765625" style="2" bestFit="1" customWidth="1"/>
    <col min="8" max="8" width="8.8984375" style="2" bestFit="1" customWidth="1"/>
    <col min="9" max="9" width="10.09765625" style="2" bestFit="1" customWidth="1"/>
    <col min="10" max="10" width="7.69921875" style="2" bestFit="1" customWidth="1"/>
    <col min="11" max="11" width="10.09765625" style="2" bestFit="1" customWidth="1"/>
    <col min="12" max="12" width="8.19921875" style="2" bestFit="1" customWidth="1"/>
    <col min="13" max="16" width="10.09765625" style="2" bestFit="1" customWidth="1"/>
    <col min="17" max="17" width="9.69921875" style="2" bestFit="1" customWidth="1"/>
    <col min="18" max="16384" width="9" style="2"/>
  </cols>
  <sheetData>
    <row r="1" spans="1:12" ht="14.4" thickBot="1" x14ac:dyDescent="0.3">
      <c r="A1" s="381" t="s">
        <v>407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</row>
    <row r="2" spans="1:12" x14ac:dyDescent="0.25">
      <c r="A2" s="378" t="s">
        <v>548</v>
      </c>
      <c r="B2" s="379"/>
      <c r="C2" s="358" t="s">
        <v>549</v>
      </c>
      <c r="D2" s="359"/>
      <c r="E2" s="378" t="s">
        <v>550</v>
      </c>
      <c r="F2" s="379"/>
      <c r="G2" s="358" t="s">
        <v>559</v>
      </c>
      <c r="H2" s="359"/>
      <c r="I2" s="378" t="s">
        <v>580</v>
      </c>
      <c r="J2" s="379"/>
      <c r="K2" s="378" t="s">
        <v>581</v>
      </c>
      <c r="L2" s="379"/>
    </row>
    <row r="3" spans="1:12" ht="14.4" thickBot="1" x14ac:dyDescent="0.3">
      <c r="A3" s="192" t="s">
        <v>456</v>
      </c>
      <c r="B3" s="193" t="s">
        <v>457</v>
      </c>
      <c r="C3" s="194" t="s">
        <v>456</v>
      </c>
      <c r="D3" s="195" t="s">
        <v>457</v>
      </c>
      <c r="E3" s="192" t="s">
        <v>456</v>
      </c>
      <c r="F3" s="193" t="s">
        <v>457</v>
      </c>
      <c r="G3" s="194" t="s">
        <v>456</v>
      </c>
      <c r="H3" s="195" t="s">
        <v>457</v>
      </c>
      <c r="I3" s="192" t="s">
        <v>456</v>
      </c>
      <c r="J3" s="193" t="s">
        <v>457</v>
      </c>
      <c r="K3" s="192" t="s">
        <v>456</v>
      </c>
      <c r="L3" s="193" t="s">
        <v>457</v>
      </c>
    </row>
    <row r="4" spans="1:12" x14ac:dyDescent="0.25">
      <c r="A4" s="184" t="s">
        <v>475</v>
      </c>
      <c r="B4" s="380" t="s">
        <v>408</v>
      </c>
      <c r="C4" s="189" t="s">
        <v>424</v>
      </c>
      <c r="D4" s="362" t="s">
        <v>458</v>
      </c>
      <c r="E4" s="184" t="s">
        <v>474</v>
      </c>
      <c r="F4" s="190" t="s">
        <v>514</v>
      </c>
      <c r="G4" s="189" t="s">
        <v>474</v>
      </c>
      <c r="H4" s="364" t="s">
        <v>551</v>
      </c>
      <c r="I4" s="191" t="s">
        <v>560</v>
      </c>
      <c r="J4" s="384" t="s">
        <v>576</v>
      </c>
      <c r="K4" s="198" t="s">
        <v>582</v>
      </c>
      <c r="L4" s="366" t="s">
        <v>586</v>
      </c>
    </row>
    <row r="5" spans="1:12" x14ac:dyDescent="0.25">
      <c r="A5" s="181" t="s">
        <v>476</v>
      </c>
      <c r="B5" s="375"/>
      <c r="C5" s="186" t="s">
        <v>425</v>
      </c>
      <c r="D5" s="363"/>
      <c r="E5" s="181" t="s">
        <v>507</v>
      </c>
      <c r="F5" s="180" t="s">
        <v>514</v>
      </c>
      <c r="G5" s="187" t="s">
        <v>547</v>
      </c>
      <c r="H5" s="365"/>
      <c r="I5" s="182" t="s">
        <v>561</v>
      </c>
      <c r="J5" s="376"/>
      <c r="K5" s="196" t="s">
        <v>583</v>
      </c>
      <c r="L5" s="367"/>
    </row>
    <row r="6" spans="1:12" x14ac:dyDescent="0.25">
      <c r="A6" s="181" t="s">
        <v>477</v>
      </c>
      <c r="B6" s="375" t="s">
        <v>409</v>
      </c>
      <c r="C6" s="186" t="s">
        <v>426</v>
      </c>
      <c r="D6" s="363" t="s">
        <v>459</v>
      </c>
      <c r="E6" s="181" t="s">
        <v>508</v>
      </c>
      <c r="F6" s="180" t="s">
        <v>514</v>
      </c>
      <c r="G6" s="186" t="s">
        <v>507</v>
      </c>
      <c r="H6" s="365" t="s">
        <v>552</v>
      </c>
      <c r="I6" s="182" t="s">
        <v>562</v>
      </c>
      <c r="J6" s="376" t="s">
        <v>577</v>
      </c>
      <c r="K6" s="196" t="s">
        <v>584</v>
      </c>
      <c r="L6" s="367" t="s">
        <v>587</v>
      </c>
    </row>
    <row r="7" spans="1:12" ht="14.4" thickBot="1" x14ac:dyDescent="0.3">
      <c r="A7" s="181" t="s">
        <v>478</v>
      </c>
      <c r="B7" s="375"/>
      <c r="C7" s="186" t="s">
        <v>427</v>
      </c>
      <c r="D7" s="363"/>
      <c r="E7" s="181" t="s">
        <v>509</v>
      </c>
      <c r="F7" s="180" t="s">
        <v>514</v>
      </c>
      <c r="G7" s="187" t="s">
        <v>546</v>
      </c>
      <c r="H7" s="365"/>
      <c r="I7" s="182" t="s">
        <v>563</v>
      </c>
      <c r="J7" s="376"/>
      <c r="K7" s="197" t="s">
        <v>585</v>
      </c>
      <c r="L7" s="371"/>
    </row>
    <row r="8" spans="1:12" ht="14.4" thickBot="1" x14ac:dyDescent="0.3">
      <c r="A8" s="181" t="s">
        <v>479</v>
      </c>
      <c r="B8" s="375" t="s">
        <v>410</v>
      </c>
      <c r="C8" s="186" t="s">
        <v>428</v>
      </c>
      <c r="D8" s="363" t="s">
        <v>460</v>
      </c>
      <c r="E8" s="181" t="s">
        <v>510</v>
      </c>
      <c r="F8" s="180" t="s">
        <v>514</v>
      </c>
      <c r="G8" s="186" t="s">
        <v>508</v>
      </c>
      <c r="H8" s="365" t="s">
        <v>553</v>
      </c>
      <c r="I8" s="182" t="s">
        <v>564</v>
      </c>
      <c r="J8" s="376" t="s">
        <v>578</v>
      </c>
      <c r="K8" s="169"/>
      <c r="L8" s="170"/>
    </row>
    <row r="9" spans="1:12" ht="14.4" thickBot="1" x14ac:dyDescent="0.3">
      <c r="A9" s="181" t="s">
        <v>480</v>
      </c>
      <c r="B9" s="375"/>
      <c r="C9" s="186" t="s">
        <v>429</v>
      </c>
      <c r="D9" s="363"/>
      <c r="E9" s="181" t="s">
        <v>511</v>
      </c>
      <c r="F9" s="180" t="s">
        <v>514</v>
      </c>
      <c r="G9" s="187" t="s">
        <v>545</v>
      </c>
      <c r="H9" s="365"/>
      <c r="I9" s="182" t="s">
        <v>565</v>
      </c>
      <c r="J9" s="376"/>
      <c r="K9" s="382" t="s">
        <v>588</v>
      </c>
      <c r="L9" s="383"/>
    </row>
    <row r="10" spans="1:12" x14ac:dyDescent="0.25">
      <c r="A10" s="181" t="s">
        <v>481</v>
      </c>
      <c r="B10" s="375" t="s">
        <v>411</v>
      </c>
      <c r="C10" s="186" t="s">
        <v>430</v>
      </c>
      <c r="D10" s="363" t="s">
        <v>461</v>
      </c>
      <c r="E10" s="181" t="s">
        <v>512</v>
      </c>
      <c r="F10" s="180" t="s">
        <v>514</v>
      </c>
      <c r="G10" s="186" t="s">
        <v>509</v>
      </c>
      <c r="H10" s="365" t="s">
        <v>554</v>
      </c>
      <c r="I10" s="182" t="s">
        <v>566</v>
      </c>
      <c r="J10" s="376" t="s">
        <v>579</v>
      </c>
      <c r="K10" s="198" t="s">
        <v>589</v>
      </c>
      <c r="L10" s="366" t="s">
        <v>237</v>
      </c>
    </row>
    <row r="11" spans="1:12" ht="14.4" thickBot="1" x14ac:dyDescent="0.3">
      <c r="A11" s="181" t="s">
        <v>482</v>
      </c>
      <c r="B11" s="375"/>
      <c r="C11" s="186" t="s">
        <v>431</v>
      </c>
      <c r="D11" s="363"/>
      <c r="E11" s="181" t="s">
        <v>513</v>
      </c>
      <c r="F11" s="180" t="s">
        <v>514</v>
      </c>
      <c r="G11" s="187" t="s">
        <v>544</v>
      </c>
      <c r="H11" s="365"/>
      <c r="I11" s="183" t="s">
        <v>567</v>
      </c>
      <c r="J11" s="377"/>
      <c r="K11" s="197" t="s">
        <v>590</v>
      </c>
      <c r="L11" s="371"/>
    </row>
    <row r="12" spans="1:12" ht="14.4" thickBot="1" x14ac:dyDescent="0.3">
      <c r="A12" s="181" t="s">
        <v>483</v>
      </c>
      <c r="B12" s="375" t="s">
        <v>412</v>
      </c>
      <c r="C12" s="186" t="s">
        <v>432</v>
      </c>
      <c r="D12" s="363" t="s">
        <v>462</v>
      </c>
      <c r="E12" s="181" t="s">
        <v>568</v>
      </c>
      <c r="F12" s="376" t="s">
        <v>532</v>
      </c>
      <c r="G12" s="186" t="s">
        <v>510</v>
      </c>
      <c r="H12" s="365" t="s">
        <v>555</v>
      </c>
      <c r="I12" s="176"/>
      <c r="J12" s="178"/>
      <c r="K12" s="169"/>
      <c r="L12" s="170"/>
    </row>
    <row r="13" spans="1:12" ht="14.4" thickBot="1" x14ac:dyDescent="0.3">
      <c r="A13" s="181" t="s">
        <v>484</v>
      </c>
      <c r="B13" s="375"/>
      <c r="C13" s="186" t="s">
        <v>433</v>
      </c>
      <c r="D13" s="363"/>
      <c r="E13" s="181" t="s">
        <v>569</v>
      </c>
      <c r="F13" s="376"/>
      <c r="G13" s="187" t="s">
        <v>543</v>
      </c>
      <c r="H13" s="365"/>
      <c r="I13" s="176"/>
      <c r="J13" s="178"/>
      <c r="K13" s="382" t="s">
        <v>591</v>
      </c>
      <c r="L13" s="383"/>
    </row>
    <row r="14" spans="1:12" x14ac:dyDescent="0.25">
      <c r="A14" s="181" t="s">
        <v>485</v>
      </c>
      <c r="B14" s="375" t="s">
        <v>413</v>
      </c>
      <c r="C14" s="186" t="s">
        <v>434</v>
      </c>
      <c r="D14" s="363" t="s">
        <v>463</v>
      </c>
      <c r="E14" s="181" t="s">
        <v>570</v>
      </c>
      <c r="F14" s="376" t="s">
        <v>533</v>
      </c>
      <c r="G14" s="186" t="s">
        <v>511</v>
      </c>
      <c r="H14" s="365" t="s">
        <v>556</v>
      </c>
      <c r="I14" s="176"/>
      <c r="J14" s="178"/>
      <c r="K14" s="198" t="s">
        <v>592</v>
      </c>
      <c r="L14" s="366" t="s">
        <v>236</v>
      </c>
    </row>
    <row r="15" spans="1:12" ht="14.4" thickBot="1" x14ac:dyDescent="0.3">
      <c r="A15" s="181" t="s">
        <v>486</v>
      </c>
      <c r="B15" s="375"/>
      <c r="C15" s="186" t="s">
        <v>435</v>
      </c>
      <c r="D15" s="363"/>
      <c r="E15" s="181" t="s">
        <v>571</v>
      </c>
      <c r="F15" s="376"/>
      <c r="G15" s="187" t="s">
        <v>542</v>
      </c>
      <c r="H15" s="365"/>
      <c r="I15" s="176"/>
      <c r="J15" s="178"/>
      <c r="K15" s="197" t="s">
        <v>593</v>
      </c>
      <c r="L15" s="371"/>
    </row>
    <row r="16" spans="1:12" x14ac:dyDescent="0.25">
      <c r="A16" s="181" t="s">
        <v>487</v>
      </c>
      <c r="B16" s="375" t="s">
        <v>414</v>
      </c>
      <c r="C16" s="186" t="s">
        <v>436</v>
      </c>
      <c r="D16" s="363" t="s">
        <v>464</v>
      </c>
      <c r="E16" s="181" t="s">
        <v>572</v>
      </c>
      <c r="F16" s="376" t="s">
        <v>534</v>
      </c>
      <c r="G16" s="186" t="s">
        <v>512</v>
      </c>
      <c r="H16" s="365" t="s">
        <v>557</v>
      </c>
      <c r="I16" s="176"/>
      <c r="J16" s="178"/>
      <c r="K16" s="169"/>
      <c r="L16" s="170"/>
    </row>
    <row r="17" spans="1:12" x14ac:dyDescent="0.25">
      <c r="A17" s="181" t="s">
        <v>488</v>
      </c>
      <c r="B17" s="375"/>
      <c r="C17" s="186" t="s">
        <v>437</v>
      </c>
      <c r="D17" s="363"/>
      <c r="E17" s="181" t="s">
        <v>573</v>
      </c>
      <c r="F17" s="376"/>
      <c r="G17" s="187" t="s">
        <v>541</v>
      </c>
      <c r="H17" s="365"/>
      <c r="I17" s="176"/>
      <c r="J17" s="178"/>
      <c r="K17" s="169"/>
      <c r="L17" s="170"/>
    </row>
    <row r="18" spans="1:12" x14ac:dyDescent="0.25">
      <c r="A18" s="181" t="s">
        <v>489</v>
      </c>
      <c r="B18" s="375" t="s">
        <v>415</v>
      </c>
      <c r="C18" s="186" t="s">
        <v>438</v>
      </c>
      <c r="D18" s="363" t="s">
        <v>465</v>
      </c>
      <c r="E18" s="181" t="s">
        <v>574</v>
      </c>
      <c r="F18" s="376" t="s">
        <v>535</v>
      </c>
      <c r="G18" s="186" t="s">
        <v>513</v>
      </c>
      <c r="H18" s="365" t="s">
        <v>558</v>
      </c>
      <c r="I18" s="176"/>
      <c r="J18" s="178"/>
      <c r="K18" s="169"/>
      <c r="L18" s="170"/>
    </row>
    <row r="19" spans="1:12" ht="14.4" thickBot="1" x14ac:dyDescent="0.3">
      <c r="A19" s="181" t="s">
        <v>490</v>
      </c>
      <c r="B19" s="375"/>
      <c r="C19" s="186" t="s">
        <v>439</v>
      </c>
      <c r="D19" s="363"/>
      <c r="E19" s="181" t="s">
        <v>575</v>
      </c>
      <c r="F19" s="376"/>
      <c r="G19" s="188" t="s">
        <v>540</v>
      </c>
      <c r="H19" s="374"/>
      <c r="I19" s="176"/>
      <c r="J19" s="178"/>
      <c r="K19" s="169"/>
      <c r="L19" s="170"/>
    </row>
    <row r="20" spans="1:12" x14ac:dyDescent="0.25">
      <c r="A20" s="181" t="s">
        <v>491</v>
      </c>
      <c r="B20" s="375" t="s">
        <v>416</v>
      </c>
      <c r="C20" s="186" t="s">
        <v>440</v>
      </c>
      <c r="D20" s="363" t="s">
        <v>466</v>
      </c>
      <c r="E20" s="181" t="s">
        <v>524</v>
      </c>
      <c r="F20" s="376" t="s">
        <v>536</v>
      </c>
      <c r="G20" s="171"/>
      <c r="H20" s="170"/>
      <c r="I20" s="176"/>
      <c r="J20" s="178"/>
      <c r="K20" s="169"/>
      <c r="L20" s="170"/>
    </row>
    <row r="21" spans="1:12" x14ac:dyDescent="0.25">
      <c r="A21" s="181" t="s">
        <v>492</v>
      </c>
      <c r="B21" s="375"/>
      <c r="C21" s="186" t="s">
        <v>441</v>
      </c>
      <c r="D21" s="363"/>
      <c r="E21" s="181" t="s">
        <v>525</v>
      </c>
      <c r="F21" s="376"/>
      <c r="G21" s="171"/>
      <c r="H21" s="170"/>
      <c r="I21" s="176"/>
      <c r="J21" s="178"/>
      <c r="K21" s="169"/>
      <c r="L21" s="170"/>
    </row>
    <row r="22" spans="1:12" x14ac:dyDescent="0.25">
      <c r="A22" s="182" t="s">
        <v>493</v>
      </c>
      <c r="B22" s="376" t="s">
        <v>417</v>
      </c>
      <c r="C22" s="187" t="s">
        <v>442</v>
      </c>
      <c r="D22" s="365" t="s">
        <v>467</v>
      </c>
      <c r="E22" s="182" t="s">
        <v>526</v>
      </c>
      <c r="F22" s="376" t="s">
        <v>537</v>
      </c>
      <c r="G22" s="171"/>
      <c r="H22" s="170"/>
      <c r="I22" s="176"/>
      <c r="J22" s="178"/>
      <c r="K22" s="169"/>
      <c r="L22" s="170"/>
    </row>
    <row r="23" spans="1:12" x14ac:dyDescent="0.25">
      <c r="A23" s="182" t="s">
        <v>494</v>
      </c>
      <c r="B23" s="376"/>
      <c r="C23" s="187" t="s">
        <v>443</v>
      </c>
      <c r="D23" s="365"/>
      <c r="E23" s="182" t="s">
        <v>527</v>
      </c>
      <c r="F23" s="376"/>
      <c r="G23" s="171"/>
      <c r="H23" s="170"/>
      <c r="I23" s="176"/>
      <c r="J23" s="178"/>
      <c r="K23" s="169"/>
      <c r="L23" s="170"/>
    </row>
    <row r="24" spans="1:12" x14ac:dyDescent="0.25">
      <c r="A24" s="182" t="s">
        <v>495</v>
      </c>
      <c r="B24" s="376" t="s">
        <v>418</v>
      </c>
      <c r="C24" s="187" t="s">
        <v>444</v>
      </c>
      <c r="D24" s="365" t="s">
        <v>468</v>
      </c>
      <c r="E24" s="182" t="s">
        <v>528</v>
      </c>
      <c r="F24" s="376" t="s">
        <v>538</v>
      </c>
      <c r="G24" s="171"/>
      <c r="H24" s="170"/>
      <c r="I24" s="176"/>
      <c r="J24" s="178"/>
      <c r="K24" s="169"/>
      <c r="L24" s="170"/>
    </row>
    <row r="25" spans="1:12" x14ac:dyDescent="0.25">
      <c r="A25" s="182" t="s">
        <v>496</v>
      </c>
      <c r="B25" s="376"/>
      <c r="C25" s="187" t="s">
        <v>445</v>
      </c>
      <c r="D25" s="365"/>
      <c r="E25" s="182" t="s">
        <v>529</v>
      </c>
      <c r="F25" s="376"/>
      <c r="G25" s="171"/>
      <c r="H25" s="170"/>
      <c r="I25" s="176"/>
      <c r="J25" s="178"/>
      <c r="K25" s="169"/>
      <c r="L25" s="170"/>
    </row>
    <row r="26" spans="1:12" x14ac:dyDescent="0.25">
      <c r="A26" s="182" t="s">
        <v>497</v>
      </c>
      <c r="B26" s="376" t="s">
        <v>419</v>
      </c>
      <c r="C26" s="187" t="s">
        <v>446</v>
      </c>
      <c r="D26" s="365" t="s">
        <v>469</v>
      </c>
      <c r="E26" s="182" t="s">
        <v>530</v>
      </c>
      <c r="F26" s="376" t="s">
        <v>539</v>
      </c>
      <c r="G26" s="172"/>
      <c r="H26" s="170"/>
      <c r="I26" s="176"/>
      <c r="J26" s="178"/>
      <c r="K26" s="169"/>
      <c r="L26" s="170"/>
    </row>
    <row r="27" spans="1:12" x14ac:dyDescent="0.25">
      <c r="A27" s="182" t="s">
        <v>498</v>
      </c>
      <c r="B27" s="376"/>
      <c r="C27" s="187" t="s">
        <v>447</v>
      </c>
      <c r="D27" s="365"/>
      <c r="E27" s="182" t="s">
        <v>531</v>
      </c>
      <c r="F27" s="376"/>
      <c r="G27" s="172"/>
      <c r="H27" s="170"/>
      <c r="I27" s="176"/>
      <c r="J27" s="178"/>
      <c r="K27" s="169"/>
      <c r="L27" s="170"/>
    </row>
    <row r="28" spans="1:12" x14ac:dyDescent="0.25">
      <c r="A28" s="182" t="s">
        <v>499</v>
      </c>
      <c r="B28" s="376" t="s">
        <v>420</v>
      </c>
      <c r="C28" s="187" t="s">
        <v>448</v>
      </c>
      <c r="D28" s="365" t="s">
        <v>470</v>
      </c>
      <c r="E28" s="182" t="s">
        <v>515</v>
      </c>
      <c r="F28" s="180" t="s">
        <v>523</v>
      </c>
      <c r="G28" s="172"/>
      <c r="H28" s="170"/>
      <c r="I28" s="176"/>
      <c r="J28" s="178"/>
      <c r="K28" s="169"/>
      <c r="L28" s="170"/>
    </row>
    <row r="29" spans="1:12" x14ac:dyDescent="0.25">
      <c r="A29" s="182" t="s">
        <v>500</v>
      </c>
      <c r="B29" s="376"/>
      <c r="C29" s="187" t="s">
        <v>449</v>
      </c>
      <c r="D29" s="365"/>
      <c r="E29" s="182" t="s">
        <v>516</v>
      </c>
      <c r="F29" s="180" t="s">
        <v>523</v>
      </c>
      <c r="G29" s="172"/>
      <c r="H29" s="170"/>
      <c r="I29" s="176"/>
      <c r="J29" s="178"/>
      <c r="K29" s="169"/>
      <c r="L29" s="170"/>
    </row>
    <row r="30" spans="1:12" x14ac:dyDescent="0.25">
      <c r="A30" s="182" t="s">
        <v>501</v>
      </c>
      <c r="B30" s="376" t="s">
        <v>421</v>
      </c>
      <c r="C30" s="187" t="s">
        <v>450</v>
      </c>
      <c r="D30" s="365" t="s">
        <v>471</v>
      </c>
      <c r="E30" s="182" t="s">
        <v>517</v>
      </c>
      <c r="F30" s="180" t="s">
        <v>523</v>
      </c>
      <c r="G30" s="172"/>
      <c r="H30" s="170"/>
      <c r="I30" s="176"/>
      <c r="J30" s="178"/>
      <c r="K30" s="169"/>
      <c r="L30" s="170"/>
    </row>
    <row r="31" spans="1:12" x14ac:dyDescent="0.25">
      <c r="A31" s="182" t="s">
        <v>502</v>
      </c>
      <c r="B31" s="376"/>
      <c r="C31" s="187" t="s">
        <v>451</v>
      </c>
      <c r="D31" s="365"/>
      <c r="E31" s="182" t="s">
        <v>518</v>
      </c>
      <c r="F31" s="180" t="s">
        <v>523</v>
      </c>
      <c r="G31" s="172"/>
      <c r="H31" s="170"/>
      <c r="I31" s="176"/>
      <c r="J31" s="178"/>
      <c r="K31" s="169"/>
      <c r="L31" s="170"/>
    </row>
    <row r="32" spans="1:12" x14ac:dyDescent="0.25">
      <c r="A32" s="182" t="s">
        <v>503</v>
      </c>
      <c r="B32" s="376" t="s">
        <v>422</v>
      </c>
      <c r="C32" s="187" t="s">
        <v>452</v>
      </c>
      <c r="D32" s="365" t="s">
        <v>472</v>
      </c>
      <c r="E32" s="182" t="s">
        <v>519</v>
      </c>
      <c r="F32" s="180" t="s">
        <v>523</v>
      </c>
      <c r="G32" s="172"/>
      <c r="H32" s="170"/>
      <c r="I32" s="176"/>
      <c r="J32" s="178"/>
      <c r="K32" s="169"/>
      <c r="L32" s="170"/>
    </row>
    <row r="33" spans="1:12" x14ac:dyDescent="0.25">
      <c r="A33" s="182" t="s">
        <v>504</v>
      </c>
      <c r="B33" s="376"/>
      <c r="C33" s="187" t="s">
        <v>453</v>
      </c>
      <c r="D33" s="365"/>
      <c r="E33" s="182" t="s">
        <v>520</v>
      </c>
      <c r="F33" s="180" t="s">
        <v>523</v>
      </c>
      <c r="G33" s="172"/>
      <c r="H33" s="170"/>
      <c r="I33" s="176"/>
      <c r="J33" s="178"/>
      <c r="K33" s="169"/>
      <c r="L33" s="170"/>
    </row>
    <row r="34" spans="1:12" x14ac:dyDescent="0.25">
      <c r="A34" s="182" t="s">
        <v>505</v>
      </c>
      <c r="B34" s="376" t="s">
        <v>423</v>
      </c>
      <c r="C34" s="187" t="s">
        <v>454</v>
      </c>
      <c r="D34" s="365" t="s">
        <v>473</v>
      </c>
      <c r="E34" s="182" t="s">
        <v>521</v>
      </c>
      <c r="F34" s="180" t="s">
        <v>523</v>
      </c>
      <c r="G34" s="172"/>
      <c r="H34" s="170"/>
      <c r="I34" s="176"/>
      <c r="J34" s="178"/>
      <c r="K34" s="169"/>
      <c r="L34" s="170"/>
    </row>
    <row r="35" spans="1:12" ht="14.4" thickBot="1" x14ac:dyDescent="0.3">
      <c r="A35" s="183" t="s">
        <v>506</v>
      </c>
      <c r="B35" s="377"/>
      <c r="C35" s="188" t="s">
        <v>455</v>
      </c>
      <c r="D35" s="374"/>
      <c r="E35" s="183" t="s">
        <v>522</v>
      </c>
      <c r="F35" s="185" t="s">
        <v>523</v>
      </c>
      <c r="G35" s="173"/>
      <c r="H35" s="175"/>
      <c r="I35" s="177"/>
      <c r="J35" s="179"/>
      <c r="K35" s="174"/>
      <c r="L35" s="175"/>
    </row>
  </sheetData>
  <mergeCells count="65">
    <mergeCell ref="A1:L1"/>
    <mergeCell ref="K9:L9"/>
    <mergeCell ref="L10:L11"/>
    <mergeCell ref="K13:L13"/>
    <mergeCell ref="L14:L15"/>
    <mergeCell ref="K2:L2"/>
    <mergeCell ref="L4:L5"/>
    <mergeCell ref="L6:L7"/>
    <mergeCell ref="I2:J2"/>
    <mergeCell ref="J4:J5"/>
    <mergeCell ref="J6:J7"/>
    <mergeCell ref="J8:J9"/>
    <mergeCell ref="J10:J11"/>
    <mergeCell ref="H4:H5"/>
    <mergeCell ref="H6:H7"/>
    <mergeCell ref="H8:H9"/>
    <mergeCell ref="H10:H11"/>
    <mergeCell ref="H12:H13"/>
    <mergeCell ref="H14:H15"/>
    <mergeCell ref="H16:H17"/>
    <mergeCell ref="H18:H19"/>
    <mergeCell ref="G2:H2"/>
    <mergeCell ref="A2:B2"/>
    <mergeCell ref="C2:D2"/>
    <mergeCell ref="F12:F13"/>
    <mergeCell ref="F14:F15"/>
    <mergeCell ref="D4:D5"/>
    <mergeCell ref="D6:D7"/>
    <mergeCell ref="D8:D9"/>
    <mergeCell ref="D10:D11"/>
    <mergeCell ref="D12:D13"/>
    <mergeCell ref="B14:B15"/>
    <mergeCell ref="E2:F2"/>
    <mergeCell ref="B4:B5"/>
    <mergeCell ref="B6:B7"/>
    <mergeCell ref="B8:B9"/>
    <mergeCell ref="B10:B11"/>
    <mergeCell ref="F16:F17"/>
    <mergeCell ref="D26:D27"/>
    <mergeCell ref="D28:D29"/>
    <mergeCell ref="D30:D31"/>
    <mergeCell ref="D32:D33"/>
    <mergeCell ref="F18:F19"/>
    <mergeCell ref="F20:F21"/>
    <mergeCell ref="F22:F23"/>
    <mergeCell ref="F24:F25"/>
    <mergeCell ref="F26:F27"/>
    <mergeCell ref="B34:B35"/>
    <mergeCell ref="D34:D35"/>
    <mergeCell ref="D14:D15"/>
    <mergeCell ref="D16:D17"/>
    <mergeCell ref="D18:D19"/>
    <mergeCell ref="D20:D21"/>
    <mergeCell ref="D22:D23"/>
    <mergeCell ref="D24:D25"/>
    <mergeCell ref="B24:B25"/>
    <mergeCell ref="B26:B27"/>
    <mergeCell ref="B28:B29"/>
    <mergeCell ref="B30:B31"/>
    <mergeCell ref="B32:B33"/>
    <mergeCell ref="B12:B13"/>
    <mergeCell ref="B16:B17"/>
    <mergeCell ref="B18:B19"/>
    <mergeCell ref="B20:B21"/>
    <mergeCell ref="B22:B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BĐ 28.08</vt:lpstr>
      <vt:lpstr>Pick 28.08</vt:lpstr>
      <vt:lpstr>BĐ Nam</vt:lpstr>
      <vt:lpstr>Pick</vt:lpstr>
      <vt:lpstr>Agenda</vt:lpstr>
      <vt:lpstr>P.2NN</vt:lpstr>
      <vt:lpstr>P.2Nữ</vt:lpstr>
      <vt:lpstr>P.2Nam</vt:lpstr>
      <vt:lpstr>'BĐ 28.08'!Print_Titles</vt:lpstr>
      <vt:lpstr>'Pick 28.08'!Print_Titles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Nguyen Tuan Long</cp:lastModifiedBy>
  <cp:lastPrinted>2026-08-18T07:07:27Z</cp:lastPrinted>
  <dcterms:created xsi:type="dcterms:W3CDTF">2026-07-16T03:43:54Z</dcterms:created>
  <dcterms:modified xsi:type="dcterms:W3CDTF">2026-09-11T06:27:16Z</dcterms:modified>
</cp:coreProperties>
</file>